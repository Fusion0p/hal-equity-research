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" sheetId="2" state="visible" r:id="rId4"/>
    <sheet name="Assumptions" sheetId="3" state="visible" r:id="rId5"/>
    <sheet name="Forecast" sheetId="4" state="visible" r:id="rId6"/>
    <sheet name="DCF" sheetId="5" state="visible" r:id="rId7"/>
    <sheet name="Comps" sheetId="6" state="visible" r:id="rId8"/>
    <sheet name="Valuation" sheetId="7" state="visible" r:id="rId9"/>
    <sheet name="MonteCarlo" sheetId="8" state="visible" r:id="rId10"/>
    <sheet name="Scenarios" sheetId="9" state="visible" r:id="rId11"/>
    <sheet name="Not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5" authorId="0">
      <text>
        <r>
          <rPr>
            <sz val="10"/>
            <rFont val="Arial"/>
            <family val="2"/>
          </rPr>
          <t xml:space="preserve">FY24 order book ~Rs 94,000 Cr per Business Standard (Mar-2025 analyst note); FY25/FY26 per HAL Q4 FY26 call.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8" authorId="0">
      <text>
        <r>
          <rPr>
            <sz val="10"/>
            <rFont val="Arial"/>
            <family val="2"/>
          </rPr>
          <t xml:space="preserve">Solved with Brent root-finder in core.py: WACC at which DCF value = CMP, holding all cash flows, g=5% and 50% cash credit constant.</t>
        </r>
      </text>
    </comment>
  </commentList>
</comments>
</file>

<file path=xl/sharedStrings.xml><?xml version="1.0" encoding="utf-8"?>
<sst xmlns="http://schemas.openxmlformats.org/spreadsheetml/2006/main" count="407" uniqueCount="341">
  <si>
    <t xml:space="preserve">Hindustan Aeronautics Ltd (NSE: HAL | BSE: 541154) - Equity Research Model</t>
  </si>
  <si>
    <t xml:space="preserve">Independent equity research - educational / portfolio project. Not investment advice. Valuation date 10-Oct-2026.</t>
  </si>
  <si>
    <t xml:space="preserve">Key outputs</t>
  </si>
  <si>
    <t xml:space="preserve">Value</t>
  </si>
  <si>
    <t xml:space="preserve">Rating</t>
  </si>
  <si>
    <t xml:space="preserve">CMP (Rs, 9-Oct-2026 close)</t>
  </si>
  <si>
    <t xml:space="preserve">12-month target price (Rs)</t>
  </si>
  <si>
    <t xml:space="preserve">Upside / (downside)</t>
  </si>
  <si>
    <t xml:space="preserve">Market cap (Rs Cr)</t>
  </si>
  <si>
    <t xml:space="preserve">DCF value today (Rs/share)</t>
  </si>
  <si>
    <t xml:space="preserve">Comps value (Rs/share)</t>
  </si>
  <si>
    <t xml:space="preserve">DCF weight / Comps weight</t>
  </si>
  <si>
    <t xml:space="preserve">WACC (cost of equity)</t>
  </si>
  <si>
    <t xml:space="preserve">Terminal growth</t>
  </si>
  <si>
    <t xml:space="preserve">Market-implied cost of equity (reverse DCF)</t>
  </si>
  <si>
    <t xml:space="preserve">Market EV / FY27E EBITDA</t>
  </si>
  <si>
    <t xml:space="preserve">P/E on FY27E EPS</t>
  </si>
  <si>
    <t xml:space="preserve">P/E on core earnings (ex treasury income)</t>
  </si>
  <si>
    <t xml:space="preserve">Order book / FY26 revenue</t>
  </si>
  <si>
    <t xml:space="preserve">Financial summary (Rs Cr)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</si>
  <si>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</si>
  <si>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</si>
  <si>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</si>
  <si>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</si>
  <si>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</si>
  <si>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Revenue</t>
  </si>
  <si>
    <t xml:space="preserve">EBITDA</t>
  </si>
  <si>
    <t xml:space="preserve">Net profit</t>
  </si>
  <si>
    <t xml:space="preserve">EBITDA margin</t>
  </si>
  <si>
    <t xml:space="preserve">EPS (Rs)</t>
  </si>
  <si>
    <t xml:space="preserve">Other income % of PBT</t>
  </si>
  <si>
    <t xml:space="preserve">CFO / EBITDA</t>
  </si>
  <si>
    <t xml:space="preserve">Free cash flow (reported)</t>
  </si>
  <si>
    <t xml:space="preserve">Sheets: Historical | Assumptions | Forecast | DCF | Comps | Valuation | MonteCarlo (static) | Scenarios (static) | Notes</t>
  </si>
  <si>
    <t xml:space="preserve">Hindustan Aeronautics Ltd (HAL) - Historical Financials, Consolidated (Rs Cr)</t>
  </si>
  <si>
    <t xml:space="preserve">Source: Screener.in consolidated statements (company filings), retrieved 10-Oct-2026. Blue = hardcoded input from source; black = formula. FY ends 31-Mar.</t>
  </si>
  <si>
    <t xml:space="preserve">Rs Cr</t>
  </si>
  <si>
    <t xml:space="preserve">FY20</t>
  </si>
  <si>
    <t xml:space="preserve">FY21</t>
  </si>
  <si>
    <t xml:space="preserve">FY22</t>
  </si>
  <si>
    <t xml:space="preserve">FY23</t>
  </si>
  <si>
    <t xml:space="preserve">Revenue from operations</t>
  </si>
  <si>
    <t xml:space="preserve">Operating profit (EBITDA)</t>
  </si>
  <si>
    <t xml:space="preserve">Other income</t>
  </si>
  <si>
    <t xml:space="preserve">Interest</t>
  </si>
  <si>
    <t xml:space="preserve">Depreciation</t>
  </si>
  <si>
    <t xml:space="preserve">Profit before tax</t>
  </si>
  <si>
    <t xml:space="preserve">Tax rate (reported)</t>
  </si>
  <si>
    <t xml:space="preserve">Net profit (consolidated)</t>
  </si>
  <si>
    <t xml:space="preserve">EPS (Rs, post-split)</t>
  </si>
  <si>
    <t xml:space="preserve">Dividend payout %</t>
  </si>
  <si>
    <t xml:space="preserve">Balance sheet (Rs Cr)</t>
  </si>
  <si>
    <t xml:space="preserve">Equity capital</t>
  </si>
  <si>
    <t xml:space="preserve">Reserves</t>
  </si>
  <si>
    <t xml:space="preserve">Borrowings</t>
  </si>
  <si>
    <t xml:space="preserve">Other liabilities (incl. customer advances)</t>
  </si>
  <si>
    <t xml:space="preserve">Total liabilities</t>
  </si>
  <si>
    <t xml:space="preserve">Fixed assets</t>
  </si>
  <si>
    <t xml:space="preserve">CWIP</t>
  </si>
  <si>
    <t xml:space="preserve">Investments</t>
  </si>
  <si>
    <t xml:space="preserve">Other assets (incl. inventory, cash/deposits)</t>
  </si>
  <si>
    <t xml:space="preserve">Total assets</t>
  </si>
  <si>
    <t xml:space="preserve">Cash flow (Rs Cr)</t>
  </si>
  <si>
    <t xml:space="preserve">Cash from operations (CFO)</t>
  </si>
  <si>
    <t xml:space="preserve">Cash from investing</t>
  </si>
  <si>
    <t xml:space="preserve">Cash from financing</t>
  </si>
  <si>
    <t xml:space="preserve">Net cash flow</t>
  </si>
  <si>
    <t xml:space="preserve">Free cash flow (reported, CFO - capex)</t>
  </si>
  <si>
    <t xml:space="preserve">Working-capital ratios (days) and returns</t>
  </si>
  <si>
    <t xml:space="preserve">Debtor days</t>
  </si>
  <si>
    <t xml:space="preserve">Inventory days</t>
  </si>
  <si>
    <t xml:space="preserve">Payable days</t>
  </si>
  <si>
    <t xml:space="preserve">Cash conversion cycle (days)</t>
  </si>
  <si>
    <t xml:space="preserve">ROCE (reported)</t>
  </si>
  <si>
    <t xml:space="preserve">Derived metrics (formulas)</t>
  </si>
  <si>
    <t xml:space="preserve">Revenue growth</t>
  </si>
  <si>
    <t xml:space="preserve">EBITDA growth</t>
  </si>
  <si>
    <t xml:space="preserve">Net profit growth</t>
  </si>
  <si>
    <t xml:space="preserve">Other income as % of PBT</t>
  </si>
  <si>
    <t xml:space="preserve">Core PBT (PBT less other income)</t>
  </si>
  <si>
    <t xml:space="preserve">Net worth (equity + reserves)</t>
  </si>
  <si>
    <t xml:space="preserve">ROE on average net worth</t>
  </si>
  <si>
    <t xml:space="preserve">Debt / equity (x)</t>
  </si>
  <si>
    <t xml:space="preserve">Implied capex (CFO - FCF)</t>
  </si>
  <si>
    <t xml:space="preserve">Capex % of revenue</t>
  </si>
  <si>
    <t xml:space="preserve">FCF / net profit</t>
  </si>
  <si>
    <t xml:space="preserve">D&amp;A % of revenue</t>
  </si>
  <si>
    <t xml:space="preserve">EBITDA index (FY20 = 100)</t>
  </si>
  <si>
    <t xml:space="preserve">Net profit index (FY20 = 100)</t>
  </si>
  <si>
    <t xml:space="preserve">Balance-sheet check (assets - liabilities)</t>
  </si>
  <si>
    <t xml:space="preserve">Liabilities build check (components - total)</t>
  </si>
  <si>
    <t xml:space="preserve">Note: liabilities-build check differs by +/-1 in some years due to source rounding.</t>
  </si>
  <si>
    <t xml:space="preserve">Order book (Rs Cr, 1-Apr)</t>
  </si>
  <si>
    <t xml:space="preserve">Order book at year-end</t>
  </si>
  <si>
    <t xml:space="preserve">Order book / same-year revenue (x)</t>
  </si>
  <si>
    <t xml:space="preserve">Fresh orders received in year (FY26)</t>
  </si>
  <si>
    <t xml:space="preserve">Quarterly consolidated results (Rs Cr) - revenue seasonality</t>
  </si>
  <si>
    <t xml:space="preserve">Jun-23</t>
  </si>
  <si>
    <t xml:space="preserve">Sep-23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</si>
  <si>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</si>
  <si>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</si>
  <si>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</si>
  <si>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</si>
  <si>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</si>
  <si>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</si>
  <si>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</si>
  <si>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</si>
  <si>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</si>
  <si>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</si>
  <si>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</si>
  <si>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Sales</t>
  </si>
  <si>
    <t xml:space="preserve">Operating profit</t>
  </si>
  <si>
    <t xml:space="preserve">Operating margin</t>
  </si>
  <si>
    <t xml:space="preserve">Mar-quarter share of FY revenue (FY24, FY25, FY26)</t>
  </si>
  <si>
    <t xml:space="preserve">Note: Mar-26 quarter share uses Jun-25..Mar-26; Jun-23 FY24 base is Q1 only so FY24 share is for Apr-23..Mar-24 quarters shown.</t>
  </si>
  <si>
    <t xml:space="preserve">Assumptions &amp; Inputs</t>
  </si>
  <si>
    <t xml:space="preserve">Blue = input; yellow fill = key judgement. Change here and every sheet recalculates.</t>
  </si>
  <si>
    <t xml:space="preserve">Market data (as of 10-Oct-2026)</t>
  </si>
  <si>
    <t xml:space="preserve">Source / note</t>
  </si>
  <si>
    <t xml:space="preserve">CMP (Rs) - NSE close 9-Oct-2026</t>
  </si>
  <si>
    <t xml:space="preserve">NSE close 9-Oct-2026 (Screener/Kotak Neo)</t>
  </si>
  <si>
    <t xml:space="preserve">Shares outstanding (Cr)</t>
  </si>
  <si>
    <t xml:space="preserve">Equity capital Rs 334 Cr / face value Rs 5</t>
  </si>
  <si>
    <t xml:space="preserve">Formula</t>
  </si>
  <si>
    <t xml:space="preserve">Bank deposits (Rs Cr, FY26)</t>
  </si>
  <si>
    <t xml:space="preserve">FY26 standalone balance sheet (non-cash bank deposits)</t>
  </si>
  <si>
    <t xml:space="preserve">Investments (Rs Cr, FY26)</t>
  </si>
  <si>
    <t xml:space="preserve">Consolidated balance sheet</t>
  </si>
  <si>
    <t xml:space="preserve">Borrowings (Rs Cr, FY26)</t>
  </si>
  <si>
    <t xml:space="preserve">FY26 dividend per share (Rs)</t>
  </si>
  <si>
    <t xml:space="preserve">Rs 35 interim + Rs 10 final</t>
  </si>
  <si>
    <t xml:space="preserve">Dividend yield</t>
  </si>
  <si>
    <t xml:space="preserve">Days from 31-Mar-2026 to valuation date (10-Oct-2026)</t>
  </si>
  <si>
    <t xml:space="preserve">Calendar days</t>
  </si>
  <si>
    <t xml:space="preserve">Year fraction</t>
  </si>
  <si>
    <t xml:space="preserve">Roll-forward of DCF value from balance-sheet date</t>
  </si>
  <si>
    <t xml:space="preserve">Cost of capital</t>
  </si>
  <si>
    <t xml:space="preserve">Risk-free rate (India 10Y G-Sec)</t>
  </si>
  <si>
    <t xml:space="preserve">~7.0-7.2% late Sep 2026 (Trading Economics)</t>
  </si>
  <si>
    <t xml:space="preserve">Equity beta</t>
  </si>
  <si>
    <t xml:space="preserve">TradingView (HAL) ~0.95</t>
  </si>
  <si>
    <t xml:space="preserve">Equity risk premium</t>
  </si>
  <si>
    <t xml:space="preserve">Analyst judgement: premium over INR G-Sec</t>
  </si>
  <si>
    <t xml:space="preserve">Cost of equity (CAPM)</t>
  </si>
  <si>
    <t xml:space="preserve">WACC (debt is ~0.0% of capital, so WACC = Ke)</t>
  </si>
  <si>
    <t xml:space="preserve">WACC overlay (+/- pp, scenario lever)</t>
  </si>
  <si>
    <t xml:space="preserve">WACC used</t>
  </si>
  <si>
    <t xml:space="preserve">Terminal growth (g)</t>
  </si>
  <si>
    <t xml:space="preserve">Below long-run nominal GDP (~9-10%)</t>
  </si>
  <si>
    <t xml:space="preserve">Credit given to cash &amp; investments in equity bridge</t>
  </si>
  <si>
    <t xml:space="preserve">Judgement: ~half. Non-current advances (Rs 44.7k Cr) ~ deposits (Rs 42.4k Cr); cash is customer-funded</t>
  </si>
  <si>
    <t xml:space="preserve">Scenario overlays (0 = base case)</t>
  </si>
  <si>
    <t xml:space="preserve">Note</t>
  </si>
  <si>
    <t xml:space="preserve">Revenue growth overlay, FY27E-FY31E (pp per year)</t>
  </si>
  <si>
    <t xml:space="preserve">EBITDA margin overlay, all years (pp)</t>
  </si>
  <si>
    <t xml:space="preserve">Dividend payout ratio (for DPS forecast)</t>
  </si>
  <si>
    <t xml:space="preserve">Forecast drivers (base case)</t>
  </si>
  <si>
    <t xml:space="preserve">FY29E</t>
  </si>
  <si>
    <t xml:space="preserve">FY30E</t>
  </si>
  <si>
    <t xml:space="preserve">FY31E</t>
  </si>
  <si>
    <t xml:space="preserve">FY32E</t>
  </si>
  <si>
    <t xml:space="preserve">FY33E</t>
  </si>
  <si>
    <t xml:space="preserve">FY34E</t>
  </si>
  <si>
    <t xml:space="preserve">FY35E</t>
  </si>
  <si>
    <t xml:space="preserve">FY36E</t>
  </si>
  <si>
    <t xml:space="preserve">FY27: guidance 10-12% (Q1 +14%); FY28-29: Tejas Mk1A/HTT-40 ramp; fade to 6% by FY36</t>
  </si>
  <si>
    <t xml:space="preserve">FY26: 29.6%; guidance FY27 30-31%, Q1 FY27 27.7%; base is below guidance</t>
  </si>
  <si>
    <t xml:space="preserve">FY26: 4.1%</t>
  </si>
  <si>
    <t xml:space="preserve">Tax rate on EBIT</t>
  </si>
  <si>
    <t xml:space="preserve">Statutory ~25%</t>
  </si>
  <si>
    <t xml:space="preserve">FY26: 7.5%; mgmt flags large capex through FY30</t>
  </si>
  <si>
    <t xml:space="preserve">Change in NWC, % of incremental revenue</t>
  </si>
  <si>
    <t xml:space="preserve">Modest drag; advances unwind handled via cash haircut</t>
  </si>
  <si>
    <t xml:space="preserve">Treasury (other) income growth</t>
  </si>
  <si>
    <t xml:space="preserve">TTM Rs 3,897 Cr vs FY26 Rs 3,743 Cr (+4%)</t>
  </si>
  <si>
    <t xml:space="preserve">Forecast &amp; Free Cash Flow to Firm (Rs Cr) - Base case with scenario overlays</t>
  </si>
  <si>
    <t xml:space="preserve">FCFF excludes treasury income (valued via the cash credit in the equity bridge). Year index 1 = FY27E.</t>
  </si>
  <si>
    <t xml:space="preserve">FY26A</t>
  </si>
  <si>
    <t xml:space="preserve">Year index</t>
  </si>
  <si>
    <t xml:space="preserve">Revenue growth (incl. overlay)</t>
  </si>
  <si>
    <t xml:space="preserve">EBITDA margin (incl. overlay)</t>
  </si>
  <si>
    <t xml:space="preserve">D&amp;A</t>
  </si>
  <si>
    <t xml:space="preserve">EBIT</t>
  </si>
  <si>
    <t xml:space="preserve">Tax on EBIT</t>
  </si>
  <si>
    <t xml:space="preserve">NOPAT</t>
  </si>
  <si>
    <t xml:space="preserve">Capex</t>
  </si>
  <si>
    <t xml:space="preserve">Increase in NWC</t>
  </si>
  <si>
    <t xml:space="preserve">Free cash flow to firm (FCFF)</t>
  </si>
  <si>
    <t xml:space="preserve">FCFF growth</t>
  </si>
  <si>
    <t xml:space="preserve">Earnings bridge (for EPS and P/E cross-checks)</t>
  </si>
  <si>
    <t xml:space="preserve">Treasury / other income</t>
  </si>
  <si>
    <t xml:space="preserve">EPS growth</t>
  </si>
  <si>
    <t xml:space="preserve">DPS (Rs)</t>
  </si>
  <si>
    <t xml:space="preserve">P/E at CMP (x)</t>
  </si>
  <si>
    <t xml:space="preserve">Discounted Cash Flow - FCFF, 10-year explicit, mid-year convention</t>
  </si>
  <si>
    <t xml:space="preserve">Valued at 31-Mar-2026, rolled forward to 10-Oct-2026 at WACC. Green = link to another sheet.</t>
  </si>
  <si>
    <t xml:space="preserve">Discount period t (mid-year)</t>
  </si>
  <si>
    <t xml:space="preserve">Discount factor</t>
  </si>
  <si>
    <t xml:space="preserve">FCFF (Rs Cr)</t>
  </si>
  <si>
    <t xml:space="preserve">PV of FCFF (Rs Cr)</t>
  </si>
  <si>
    <t xml:space="preserve">Valuation</t>
  </si>
  <si>
    <t xml:space="preserve">Sum of PV (FY27E-FY36E)</t>
  </si>
  <si>
    <t xml:space="preserve">Terminal value at FY36E (Rs Cr)</t>
  </si>
  <si>
    <t xml:space="preserve">PV of terminal value (Rs Cr)</t>
  </si>
  <si>
    <t xml:space="preserve">Enterprise value (Rs Cr)</t>
  </si>
  <si>
    <t xml:space="preserve">Terminal value % of EV</t>
  </si>
  <si>
    <t xml:space="preserve">Cash credit % applied to deposits + investments</t>
  </si>
  <si>
    <t xml:space="preserve">Cash &amp; investments credited (Rs Cr)</t>
  </si>
  <si>
    <t xml:space="preserve">Less: borrowings (Rs Cr)</t>
  </si>
  <si>
    <t xml:space="preserve">Equity value at 31-Mar-2026 (Rs Cr)</t>
  </si>
  <si>
    <t xml:space="preserve">Per share at 31-Mar-2026 (Rs)</t>
  </si>
  <si>
    <t xml:space="preserve">Roll-forward factor to 10-Oct-2026</t>
  </si>
  <si>
    <t xml:space="preserve">DCF value per share today (Rs)</t>
  </si>
  <si>
    <t xml:space="preserve">vs CMP</t>
  </si>
  <si>
    <t xml:space="preserve">DCF EV / FY27E EBITDA (x)</t>
  </si>
  <si>
    <t xml:space="preserve">Market EV (mcap - deposits - investments + debt) (Rs Cr)</t>
  </si>
  <si>
    <t xml:space="preserve">Market EV / FY27E EBITDA (x)</t>
  </si>
  <si>
    <t xml:space="preserve">Market EV / FY26A EBITDA (x)</t>
  </si>
  <si>
    <t xml:space="preserve">Market-implied P/E on FY27E EPS (x)</t>
  </si>
  <si>
    <t xml:space="preserve">Sensitivity: DCF value per share today (Rs) - WACC (rows) x terminal growth (columns)</t>
  </si>
  <si>
    <t xml:space="preserve">WACC \ g</t>
  </si>
  <si>
    <t xml:space="preserve">Base case highlighted. Grid recomputes WACC, g and the roll-forward consistently with the main DCF.</t>
  </si>
  <si>
    <t xml:space="preserve">Sensitivity: DCF value per share today (Rs) - cash credit % (base WACC, g)</t>
  </si>
  <si>
    <t xml:space="preserve">Cash credit</t>
  </si>
  <si>
    <t xml:space="preserve">Value per share (Rs)</t>
  </si>
  <si>
    <t xml:space="preserve">Reverse DCF: what the market is pricing</t>
  </si>
  <si>
    <t xml:space="preserve">Market-implied WACC (solved in Python; static input)</t>
  </si>
  <si>
    <t xml:space="preserve">DCF value per share at implied WACC (check, Rs)</t>
  </si>
  <si>
    <t xml:space="preserve">Implied equity risk premium over G-Sec at beta in Assumptions</t>
  </si>
  <si>
    <t xml:space="preserve">Our assumed equity risk premium</t>
  </si>
  <si>
    <t xml:space="preserve">Relative Valuation - Indian defence PSU / capital-goods peers</t>
  </si>
  <si>
    <t xml:space="preserve">Peer multiples: Screener.in / Value Research snapshots, 1-9 Oct 2026 (TTM). Net margin = TTM PAT / TTM revenue. Peer figures are aggregator-sourced; verify before trading.</t>
  </si>
  <si>
    <t xml:space="preserve">Company</t>
  </si>
  <si>
    <t xml:space="preserve">Mkt cap (Rs Cr)</t>
  </si>
  <si>
    <t xml:space="preserve">P/E (x)</t>
  </si>
  <si>
    <t xml:space="preserve">P/B (x)</t>
  </si>
  <si>
    <t xml:space="preserve">ROE</t>
  </si>
  <si>
    <t xml:space="preserve">Net margin</t>
  </si>
  <si>
    <t xml:space="preserve">P/B per unit ROE</t>
  </si>
  <si>
    <t xml:space="preserve">Bharat Electronics (BEL)</t>
  </si>
  <si>
    <t xml:space="preserve">Mazagon Dock (MAZDOCK)</t>
  </si>
  <si>
    <t xml:space="preserve">Garden Reach (GRSE)</t>
  </si>
  <si>
    <t xml:space="preserve">Cochin Shipyard (CSL)</t>
  </si>
  <si>
    <t xml:space="preserve">Median - included peers</t>
  </si>
  <si>
    <t xml:space="preserve">Mean - included peers</t>
  </si>
  <si>
    <t xml:space="preserve">Excluded as outlier: Bharat Dynamics (BDL)</t>
  </si>
  <si>
    <t xml:space="preserve">TTM revenue -19% and OPM ~13%; P/E inflated by depressed earnings</t>
  </si>
  <si>
    <t xml:space="preserve">HAL (at CMP)</t>
  </si>
  <si>
    <t xml:space="preserve">HAL TTM net profit (Rs Cr)</t>
  </si>
  <si>
    <t xml:space="preserve">HAL TTM EPS (Rs)</t>
  </si>
  <si>
    <t xml:space="preserve">HAL book value per share (Rs)</t>
  </si>
  <si>
    <t xml:space="preserve">HAL TTM revenue (Rs Cr)</t>
  </si>
  <si>
    <t xml:space="preserve">Implied HAL value per share (Rs)</t>
  </si>
  <si>
    <t xml:space="preserve">(a) Median peer P/E x HAL TTM EPS</t>
  </si>
  <si>
    <t xml:space="preserve">(b) Median peer (P/B per unit ROE) x HAL ROE x HAL BVPS</t>
  </si>
  <si>
    <t xml:space="preserve">Comps value (simple average of a, b)</t>
  </si>
  <si>
    <t xml:space="preserve">Cross-checks</t>
  </si>
  <si>
    <t xml:space="preserve">HAL P/E on core earnings (ex treasury income, at CMP)</t>
  </si>
  <si>
    <t xml:space="preserve">Value if BDL included: median P/E x HAL TTM EPS</t>
  </si>
  <si>
    <t xml:space="preserve">Value at mean included-peer P/E x HAL TTM EPS</t>
  </si>
  <si>
    <t xml:space="preserve">Valuation Summary, Price Target and Rating</t>
  </si>
  <si>
    <t xml:space="preserve">Weights and rating bands are stated inputs (yellow). Change them to see the effect; the weight sensitivity table below shows the full range.</t>
  </si>
  <si>
    <t xml:space="preserve">Methodology</t>
  </si>
  <si>
    <t xml:space="preserve">Value / share (Rs)</t>
  </si>
  <si>
    <t xml:space="preserve">Weight</t>
  </si>
  <si>
    <t xml:space="preserve">DCF - base case (WACC, g per Assumptions)</t>
  </si>
  <si>
    <t xml:space="preserve">Comps - avg of peer P/E and ROE-adjusted P/B</t>
  </si>
  <si>
    <t xml:space="preserve">Blended fair value today (Rs)</t>
  </si>
  <si>
    <t xml:space="preserve">12-month roll-forward factor = 1 + Ke - dividend yield</t>
  </si>
  <si>
    <t xml:space="preserve">12-month target price (Rs, rounded to Rs 10)</t>
  </si>
  <si>
    <t xml:space="preserve">CMP (Rs)</t>
  </si>
  <si>
    <t xml:space="preserve">Rating bands (12M expected price return vs CMP)</t>
  </si>
  <si>
    <t xml:space="preserve">BUY if upside &gt;=</t>
  </si>
  <si>
    <t xml:space="preserve">REDUCE if upside &lt;=</t>
  </si>
  <si>
    <t xml:space="preserve">Weight sensitivity - 12M target price vs DCF weight</t>
  </si>
  <si>
    <t xml:space="preserve">DCF weight</t>
  </si>
  <si>
    <t xml:space="preserve">Fair value today</t>
  </si>
  <si>
    <t xml:space="preserve">12M target (Rs)</t>
  </si>
  <si>
    <t xml:space="preserve">Cross-check: what the broker community says</t>
  </si>
  <si>
    <t xml:space="preserve">Anand Rathi target (BUY, Jul-2026, via TradeBrains)</t>
  </si>
  <si>
    <t xml:space="preserve">TradingView analyst range (low / high)</t>
  </si>
  <si>
    <t xml:space="preserve">Monte Carlo DCF - static output of hal_monte_carlo.py</t>
  </si>
  <si>
    <t xml:space="preserve">20,000 simulations, seed 42. Values below are pasted outputs (blue) - re-run the script to refresh. Not formula-driven.</t>
  </si>
  <si>
    <t xml:space="preserve">Statistic</t>
  </si>
  <si>
    <t xml:space="preserve">Value (Rs/share)</t>
  </si>
  <si>
    <t xml:space="preserve">Base-case DCF (point estimate)</t>
  </si>
  <si>
    <t xml:space="preserve">Median of 20,000 simulations</t>
  </si>
  <si>
    <t xml:space="preserve">Mean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</si>
  <si>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</si>
  <si>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</si>
  <si>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</si>
  <si>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</si>
  <si>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</si>
  <si>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</si>
  <si>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</si>
  <si>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P(intrinsic value &gt; CMP)</t>
  </si>
  <si>
    <t xml:space="preserve">P(intrinsic value &gt; Rs 3,000)</t>
  </si>
  <si>
    <t xml:space="preserve">P(intrinsic value &lt; Rs 2,000)</t>
  </si>
  <si>
    <t xml:space="preserve">Distributions sampled</t>
  </si>
  <si>
    <t xml:space="preserve">WACC</t>
  </si>
  <si>
    <t xml:space="preserve">Normal(11.75%, sd 0.8pp), clipped 8%-15%</t>
  </si>
  <si>
    <t xml:space="preserve">Normal(5.0%, sd 0.5pp), clipped 3.5%-6.5%, WACC-g &gt;= 3.5pp</t>
  </si>
  <si>
    <t xml:space="preserve">Revenue growth shift FY27-31</t>
  </si>
  <si>
    <t xml:space="preserve">Normal(0, sd 2.5pp) added to each year</t>
  </si>
  <si>
    <t xml:space="preserve">EBITDA margin shift</t>
  </si>
  <si>
    <t xml:space="preserve">Normal(0, sd 1.8pp) all years</t>
  </si>
  <si>
    <t xml:space="preserve">Capex scale</t>
  </si>
  <si>
    <t xml:space="preserve">Lognormal(0, 0.12) multiplier</t>
  </si>
  <si>
    <t xml:space="preserve">NWC % of incremental revenue</t>
  </si>
  <si>
    <t xml:space="preserve">Uniform(0%, 20%)</t>
  </si>
  <si>
    <t xml:space="preserve">Cash credit %</t>
  </si>
  <si>
    <t xml:space="preserve">Uniform(0%, 100%)</t>
  </si>
  <si>
    <t xml:space="preserve">Driver correlation with value/share</t>
  </si>
  <si>
    <t xml:space="preserve">Revenue growth shift (FY27-31)</t>
  </si>
  <si>
    <t xml:space="preserve">NWC % of incr. revenue</t>
  </si>
  <si>
    <t xml:space="preserve">Scenario snapshot (Python-run; reproduce by typing overlays into Assumptions!B21, B24, B27, B28)</t>
  </si>
  <si>
    <t xml:space="preserve">Static values (blue). Overlays: growth overlay applies FY27E-FY31E; margin overlay all years.</t>
  </si>
  <si>
    <t xml:space="preserve">Scenario</t>
  </si>
  <si>
    <t xml:space="preserve">Growth overlay</t>
  </si>
  <si>
    <t xml:space="preserve">Margin overlay</t>
  </si>
  <si>
    <t xml:space="preserve">WACC overlay</t>
  </si>
  <si>
    <t xml:space="preserve">DCF value/share (Rs)</t>
  </si>
  <si>
    <t xml:space="preserve">Bear: Tejas slips again, margins &lt;guidance</t>
  </si>
  <si>
    <t xml:space="preserve">Base</t>
  </si>
  <si>
    <t xml:space="preserve">Bull: guidance met + order inflow upside</t>
  </si>
  <si>
    <t xml:space="preserve">What you need to believe to justify the CMP (each holding all else at base)</t>
  </si>
  <si>
    <t xml:space="preserve">Cost of equity needed (vs 11.75% assumed)</t>
  </si>
  <si>
    <t xml:space="preserve">Terminal growth needed at 11.75% WACC (vs 5.0%)</t>
  </si>
  <si>
    <t xml:space="preserve">10-yr revenue CAGR needed at 11.75% WACC (vs 9.4% base)</t>
  </si>
  <si>
    <t xml:space="preserve">Steady-state EBITDA margin needed at 11.75% WACC (vs 30%)</t>
  </si>
  <si>
    <t xml:space="preserve">Sources, method notes and limitations</t>
  </si>
  <si>
    <t xml:space="preserve">1. Historical financials: Screener.in consolidated P&amp;L, balance sheet, cash flow and ratios for HAL (retrieved 10-Oct-2026), derived from company filings.</t>
  </si>
  <si>
    <t xml:space="preserve">2. Price: NSE close 9-Oct-2026 Rs 4,655.60. 52-week range Rs 3,479.10 - Rs 5,149.90. Market cap ~Rs 3.11 lakh Cr.</t>
  </si>
  <si>
    <t xml:space="preserve">3. Order book Rs 2,54,538 Cr, fresh orders Rs 97,028 Cr, FY26 revenue Rs 33,050 Cr (call basis; Rs 33,089 Cr consolidated per Screener), capex Rs 2,386 Cr, R&amp;D Rs 2,794 Cr: HAL Q4 FY26 earnings call (May 2026).</t>
  </si>
  <si>
    <t xml:space="preserve">4. FY27 guidance: revenue +10-12%, EBITDA margin 30-31%; Q1 FY27 (Aug-2026): revenue +14%, EBITDA margin 27.7%.</t>
  </si>
  <si>
    <t xml:space="preserve">5. Customer advances: other non-current liabilities Rs 44,689 Cr vs bank deposits Rs 42,425 Cr (FY26 standalone balance sheet, per Sahi analysis of the annual report).</t>
  </si>
  <si>
    <t xml:space="preserve">6. Peer multiples: Screener.in (BEL, BDL, 9-Oct-2026) and Value Research peer table (MAZDOCK, CSL, GRSE, 1-Oct-2026). Aggregator data; small differences vs exchange data are possible.</t>
  </si>
  <si>
    <t xml:space="preserve">7. Risk-free rate: India 10Y G-Sec ~7.0-7.2% (Trading Economics, late Sep 2026). Beta 0.95 (TradingView).</t>
  </si>
  <si>
    <t xml:space="preserve">8. Method: 10-year FCFF DCF (ex treasury income), mid-year discounting, Gordon terminal value; equity bridge credits only a stated % of cash/deposits because they are largely customer-advance funded.</t>
  </si>
  <si>
    <t xml:space="preserve">9. Key judgement 1: cash credit 50% (range 0-100% shown in DCF sheet). Key judgement 2: DCF/comps weights 50/50 (full range shown in Valuation sheet).</t>
  </si>
  <si>
    <t xml:space="preserve">10. Limitations: consolidated vs standalone differences; no segment build; Monte Carlo and scenarios are static outputs of Python; peers are few and richly valued; no forward consensus data.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</si>
</sst>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0%"/>
    <numFmt numFmtId="169" formatCode="0.0\x"/>
    <numFmt numFmtId="170" formatCode="0.00\x"/>
    <numFmt numFmtId="171" formatCode="#,##0.0;\(#,##0.0\);\-"/>
    <numFmt numFmtId="172" formatCode="0.000"/>
    <numFmt numFmtId="173" formatCode="0.00"/>
    <numFmt numFmtId="174" formatCode="0"/>
    <numFmt numFmtId="175" formatCode="0.0"/>
    <numFmt numFmtId="176" formatCode="0.0000"/>
    <numFmt numFmtId="177" formatCode="0%"/>
    <numFmt numFmtId="17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EA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A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tr">
        <f aca="false">Valuation!B15</f>
        <v>HOLD</v>
      </c>
    </row>
    <row r="6" customFormat="false" ht="15" hidden="false" customHeight="false" outlineLevel="0" collapsed="false">
      <c r="A6" s="5" t="s">
        <v>5</v>
      </c>
      <c r="B6" s="7" t="n">
        <f aca="false">Assumptions!B4</f>
        <v>4655.6</v>
      </c>
    </row>
    <row r="7" customFormat="false" ht="15" hidden="false" customHeight="false" outlineLevel="0" collapsed="false">
      <c r="A7" s="5" t="s">
        <v>6</v>
      </c>
      <c r="B7" s="8" t="n">
        <f aca="false">Valuation!B9</f>
        <v>4150</v>
      </c>
    </row>
    <row r="8" customFormat="false" ht="15" hidden="false" customHeight="false" outlineLevel="0" collapsed="false">
      <c r="A8" s="5" t="s">
        <v>7</v>
      </c>
      <c r="B8" s="9" t="n">
        <f aca="false">Valuation!C9</f>
        <v>-0.108600395222957</v>
      </c>
    </row>
    <row r="9" customFormat="false" ht="15" hidden="false" customHeight="false" outlineLevel="0" collapsed="false">
      <c r="A9" s="10" t="s">
        <v>8</v>
      </c>
      <c r="B9" s="11" t="n">
        <f aca="false">Assumptions!B6</f>
        <v>311366.528</v>
      </c>
    </row>
    <row r="10" customFormat="false" ht="15" hidden="false" customHeight="false" outlineLevel="0" collapsed="false">
      <c r="A10" s="10" t="s">
        <v>9</v>
      </c>
      <c r="B10" s="11" t="n">
        <f aca="false">DCF!B24</f>
        <v>2434.98322696268</v>
      </c>
    </row>
    <row r="11" customFormat="false" ht="15" hidden="false" customHeight="false" outlineLevel="0" collapsed="false">
      <c r="A11" s="10" t="s">
        <v>10</v>
      </c>
      <c r="B11" s="11" t="n">
        <f aca="false">Comps!C24</f>
        <v>5056.36129738436</v>
      </c>
    </row>
    <row r="12" customFormat="false" ht="15" hidden="false" customHeight="false" outlineLevel="0" collapsed="false">
      <c r="A12" s="10" t="s">
        <v>11</v>
      </c>
      <c r="B12" s="12" t="str">
        <f aca="false">TEXT(Valuation!D5,"0%")&amp;" / "&amp;TEXT(Valuation!D6,"0%")</f>
        <v>50% / 50%</v>
      </c>
    </row>
    <row r="13" customFormat="false" ht="15" hidden="false" customHeight="false" outlineLevel="0" collapsed="false">
      <c r="A13" s="10" t="s">
        <v>12</v>
      </c>
      <c r="B13" s="13" t="n">
        <f aca="false">Assumptions!B22</f>
        <v>0.1175</v>
      </c>
    </row>
    <row r="14" customFormat="false" ht="15" hidden="false" customHeight="false" outlineLevel="0" collapsed="false">
      <c r="A14" s="10" t="s">
        <v>13</v>
      </c>
      <c r="B14" s="13" t="n">
        <f aca="false">Assumptions!B23</f>
        <v>0.05</v>
      </c>
    </row>
    <row r="15" customFormat="false" ht="15" hidden="false" customHeight="false" outlineLevel="0" collapsed="false">
      <c r="A15" s="10" t="s">
        <v>14</v>
      </c>
      <c r="B15" s="14" t="n">
        <f aca="false">DCF!B48</f>
        <v>0.083</v>
      </c>
    </row>
    <row r="16" customFormat="false" ht="15" hidden="false" customHeight="false" outlineLevel="0" collapsed="false">
      <c r="A16" s="10" t="s">
        <v>15</v>
      </c>
      <c r="B16" s="15" t="n">
        <f aca="false">DCF!B28</f>
        <v>24.6510105514096</v>
      </c>
    </row>
    <row r="17" customFormat="false" ht="15" hidden="false" customHeight="false" outlineLevel="0" collapsed="false">
      <c r="A17" s="10" t="s">
        <v>16</v>
      </c>
      <c r="B17" s="15" t="n">
        <f aca="false">DCF!B30</f>
        <v>31.486697015051</v>
      </c>
    </row>
    <row r="18" customFormat="false" ht="15" hidden="false" customHeight="false" outlineLevel="0" collapsed="false">
      <c r="A18" s="10" t="s">
        <v>17</v>
      </c>
      <c r="B18" s="15" t="n">
        <f aca="false">Comps!C28</f>
        <v>49.2298554093047</v>
      </c>
    </row>
    <row r="19" customFormat="false" ht="15" hidden="false" customHeight="false" outlineLevel="0" collapsed="false">
      <c r="A19" s="10" t="s">
        <v>18</v>
      </c>
      <c r="B19" s="15" t="n">
        <f aca="false">Historical!D66</f>
        <v>7.69252621717187</v>
      </c>
    </row>
    <row r="22" customFormat="false" ht="15" hidden="false" customHeight="false" outlineLevel="0" collapsed="false">
      <c r="A22" s="3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</row>
    <row r="23" customFormat="false" ht="15" hidden="false" customHeight="false" outlineLevel="0" collapsed="false">
      <c r="A23" s="10" t="s">
        <v>25</v>
      </c>
      <c r="B23" s="11" t="n">
        <f aca="false">Historical!F5</f>
        <v>30381</v>
      </c>
      <c r="C23" s="11" t="n">
        <f aca="false">Historical!G5</f>
        <v>30981</v>
      </c>
      <c r="D23" s="11" t="n">
        <f aca="false">Historical!H5</f>
        <v>33089</v>
      </c>
      <c r="E23" s="11" t="n">
        <f aca="false">Forecast!C7</f>
        <v>36728.79</v>
      </c>
      <c r="F23" s="11" t="n">
        <f aca="false">Forecast!D7</f>
        <v>41503.5327</v>
      </c>
    </row>
    <row r="24" customFormat="false" ht="15" hidden="false" customHeight="false" outlineLevel="0" collapsed="false">
      <c r="A24" s="10" t="s">
        <v>26</v>
      </c>
      <c r="B24" s="11" t="n">
        <f aca="false">Historical!F6</f>
        <v>9752</v>
      </c>
      <c r="C24" s="11" t="n">
        <f aca="false">Historical!G6</f>
        <v>9621</v>
      </c>
      <c r="D24" s="11" t="n">
        <f aca="false">Historical!H6</f>
        <v>9788</v>
      </c>
      <c r="E24" s="11" t="n">
        <f aca="false">Forecast!C9</f>
        <v>10834.99305</v>
      </c>
      <c r="F24" s="11" t="n">
        <f aca="false">Forecast!D9</f>
        <v>12451.05981</v>
      </c>
    </row>
    <row r="25" customFormat="false" ht="15" hidden="false" customHeight="false" outlineLevel="0" collapsed="false">
      <c r="A25" s="10" t="s">
        <v>27</v>
      </c>
      <c r="B25" s="11" t="n">
        <f aca="false">Historical!F12</f>
        <v>7621</v>
      </c>
      <c r="C25" s="11" t="n">
        <f aca="false">Historical!G12</f>
        <v>8364</v>
      </c>
      <c r="D25" s="11" t="n">
        <f aca="false">Historical!H12</f>
        <v>9116</v>
      </c>
      <c r="E25" s="11" t="n">
        <f aca="false">Forecast!C22</f>
        <v>9888.8279025</v>
      </c>
      <c r="F25" s="11" t="n">
        <f aca="false">Forecast!D22</f>
        <v>11096.45057745</v>
      </c>
    </row>
    <row r="26" customFormat="false" ht="15" hidden="false" customHeight="false" outlineLevel="0" collapsed="false">
      <c r="A26" s="10" t="s">
        <v>28</v>
      </c>
      <c r="B26" s="13" t="n">
        <f aca="false">Historical!F44</f>
        <v>0.320990092492018</v>
      </c>
      <c r="C26" s="13" t="n">
        <f aca="false">Historical!G44</f>
        <v>0.310545172847875</v>
      </c>
      <c r="D26" s="13" t="n">
        <f aca="false">Historical!H44</f>
        <v>0.295808274653208</v>
      </c>
      <c r="E26" s="13" t="n">
        <f aca="false">Forecast!C8</f>
        <v>0.295</v>
      </c>
      <c r="F26" s="13" t="n">
        <f aca="false">Forecast!D8</f>
        <v>0.3</v>
      </c>
    </row>
    <row r="27" customFormat="false" ht="15" hidden="false" customHeight="false" outlineLevel="0" collapsed="false">
      <c r="A27" s="10" t="s">
        <v>29</v>
      </c>
      <c r="B27" s="16" t="n">
        <f aca="false">Historical!F13</f>
        <v>113.96</v>
      </c>
      <c r="C27" s="16" t="n">
        <f aca="false">Historical!G13</f>
        <v>125.07</v>
      </c>
      <c r="D27" s="16" t="n">
        <f aca="false">Historical!H13</f>
        <v>136.3</v>
      </c>
      <c r="E27" s="16" t="n">
        <f aca="false">Forecast!C23</f>
        <v>147.859268877093</v>
      </c>
      <c r="F27" s="16" t="n">
        <f aca="false">Forecast!D23</f>
        <v>165.915828012111</v>
      </c>
    </row>
    <row r="28" customFormat="false" ht="15" hidden="false" customHeight="false" outlineLevel="0" collapsed="false">
      <c r="A28" s="10" t="s">
        <v>30</v>
      </c>
      <c r="B28" s="13" t="n">
        <f aca="false">Historical!F47</f>
        <v>0.188068459657702</v>
      </c>
      <c r="C28" s="13" t="n">
        <f aca="false">Historical!G47</f>
        <v>0.23999263826263</v>
      </c>
      <c r="D28" s="13" t="n">
        <f aca="false">Historical!H47</f>
        <v>0.308015141540487</v>
      </c>
      <c r="E28" s="13" t="n">
        <f aca="false">Forecast!C27</f>
        <v>0.295236202792235</v>
      </c>
      <c r="F28" s="13" t="n">
        <f aca="false">Forecast!D27</f>
        <v>0.27626104208761</v>
      </c>
    </row>
    <row r="29" customFormat="false" ht="15" hidden="false" customHeight="false" outlineLevel="0" collapsed="false">
      <c r="A29" s="10" t="s">
        <v>31</v>
      </c>
      <c r="B29" s="13" t="n">
        <f aca="false">Historical!F52</f>
        <v>0.843211648892535</v>
      </c>
      <c r="C29" s="13" t="n">
        <f aca="false">Historical!G52</f>
        <v>1.41804386238437</v>
      </c>
      <c r="D29" s="13" t="n">
        <f aca="false">Historical!H52</f>
        <v>1.11422149570903</v>
      </c>
    </row>
    <row r="30" customFormat="false" ht="15" hidden="false" customHeight="false" outlineLevel="0" collapsed="false">
      <c r="A30" s="10" t="s">
        <v>32</v>
      </c>
      <c r="B30" s="11" t="n">
        <f aca="false">Historical!F33</f>
        <v>6476</v>
      </c>
      <c r="C30" s="11" t="n">
        <f aca="false">Historical!G33</f>
        <v>11890</v>
      </c>
      <c r="D30" s="11" t="n">
        <f aca="false">Historical!H33</f>
        <v>8438</v>
      </c>
    </row>
    <row r="32" customFormat="false" ht="15" hidden="false" customHeight="false" outlineLevel="0" collapsed="false">
      <c r="A3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5" min="2" style="0" width="11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20</v>
      </c>
      <c r="G4" s="4" t="s">
        <v>21</v>
      </c>
      <c r="H4" s="4" t="s">
        <v>22</v>
      </c>
    </row>
    <row r="5" customFormat="false" ht="15" hidden="false" customHeight="false" outlineLevel="0" collapsed="false">
      <c r="A5" s="10" t="s">
        <v>41</v>
      </c>
      <c r="B5" s="17" t="n">
        <v>21445</v>
      </c>
      <c r="C5" s="17" t="n">
        <v>22755</v>
      </c>
      <c r="D5" s="17" t="n">
        <v>24620</v>
      </c>
      <c r="E5" s="17" t="n">
        <v>26927</v>
      </c>
      <c r="F5" s="17" t="n">
        <v>30381</v>
      </c>
      <c r="G5" s="17" t="n">
        <v>30981</v>
      </c>
      <c r="H5" s="17" t="n">
        <v>33089</v>
      </c>
    </row>
    <row r="6" customFormat="false" ht="15" hidden="false" customHeight="false" outlineLevel="0" collapsed="false">
      <c r="A6" s="10" t="s">
        <v>42</v>
      </c>
      <c r="B6" s="17" t="n">
        <v>4914</v>
      </c>
      <c r="C6" s="17" t="n">
        <v>5357</v>
      </c>
      <c r="D6" s="17" t="n">
        <v>5415</v>
      </c>
      <c r="E6" s="17" t="n">
        <v>6686</v>
      </c>
      <c r="F6" s="17" t="n">
        <v>9752</v>
      </c>
      <c r="G6" s="17" t="n">
        <v>9621</v>
      </c>
      <c r="H6" s="17" t="n">
        <v>9788</v>
      </c>
    </row>
    <row r="7" customFormat="false" ht="15" hidden="false" customHeight="false" outlineLevel="0" collapsed="false">
      <c r="A7" s="10" t="s">
        <v>43</v>
      </c>
      <c r="B7" s="17" t="n">
        <v>423</v>
      </c>
      <c r="C7" s="17" t="n">
        <v>365</v>
      </c>
      <c r="D7" s="17" t="n">
        <v>985</v>
      </c>
      <c r="E7" s="17" t="n">
        <v>1673</v>
      </c>
      <c r="F7" s="17" t="n">
        <v>1923</v>
      </c>
      <c r="G7" s="17" t="n">
        <v>2608</v>
      </c>
      <c r="H7" s="17" t="n">
        <v>3743</v>
      </c>
    </row>
    <row r="8" customFormat="false" ht="15" hidden="false" customHeight="false" outlineLevel="0" collapsed="false">
      <c r="A8" s="10" t="s">
        <v>44</v>
      </c>
      <c r="B8" s="17" t="n">
        <v>360</v>
      </c>
      <c r="C8" s="17" t="n">
        <v>267</v>
      </c>
      <c r="D8" s="17" t="n">
        <v>65</v>
      </c>
      <c r="E8" s="17" t="n">
        <v>64</v>
      </c>
      <c r="F8" s="17" t="n">
        <v>43</v>
      </c>
      <c r="G8" s="17" t="n">
        <v>22</v>
      </c>
      <c r="H8" s="17" t="n">
        <v>24</v>
      </c>
    </row>
    <row r="9" customFormat="false" ht="15" hidden="false" customHeight="false" outlineLevel="0" collapsed="false">
      <c r="A9" s="10" t="s">
        <v>45</v>
      </c>
      <c r="B9" s="17" t="n">
        <v>999</v>
      </c>
      <c r="C9" s="17" t="n">
        <v>1178</v>
      </c>
      <c r="D9" s="17" t="n">
        <v>1111</v>
      </c>
      <c r="E9" s="17" t="n">
        <v>1785</v>
      </c>
      <c r="F9" s="17" t="n">
        <v>1407</v>
      </c>
      <c r="G9" s="17" t="n">
        <v>1340</v>
      </c>
      <c r="H9" s="17" t="n">
        <v>1355</v>
      </c>
    </row>
    <row r="10" customFormat="false" ht="15" hidden="false" customHeight="false" outlineLevel="0" collapsed="false">
      <c r="A10" s="10" t="s">
        <v>46</v>
      </c>
      <c r="B10" s="17" t="n">
        <v>3979</v>
      </c>
      <c r="C10" s="17" t="n">
        <v>4277</v>
      </c>
      <c r="D10" s="17" t="n">
        <v>5225</v>
      </c>
      <c r="E10" s="17" t="n">
        <v>6510</v>
      </c>
      <c r="F10" s="17" t="n">
        <v>10225</v>
      </c>
      <c r="G10" s="17" t="n">
        <v>10867</v>
      </c>
      <c r="H10" s="17" t="n">
        <v>12152</v>
      </c>
    </row>
    <row r="11" customFormat="false" ht="15" hidden="false" customHeight="false" outlineLevel="0" collapsed="false">
      <c r="A11" s="10" t="s">
        <v>47</v>
      </c>
      <c r="B11" s="18" t="n">
        <v>0.28</v>
      </c>
      <c r="C11" s="18" t="n">
        <v>0.24</v>
      </c>
      <c r="D11" s="18" t="n">
        <v>0.03</v>
      </c>
      <c r="E11" s="18" t="n">
        <v>0.1</v>
      </c>
      <c r="F11" s="18" t="n">
        <v>0.25</v>
      </c>
      <c r="G11" s="18" t="n">
        <v>0.23</v>
      </c>
      <c r="H11" s="18" t="n">
        <v>0.25</v>
      </c>
    </row>
    <row r="12" customFormat="false" ht="15" hidden="false" customHeight="false" outlineLevel="0" collapsed="false">
      <c r="A12" s="10" t="s">
        <v>48</v>
      </c>
      <c r="B12" s="17" t="n">
        <v>2883</v>
      </c>
      <c r="C12" s="17" t="n">
        <v>3239</v>
      </c>
      <c r="D12" s="17" t="n">
        <v>5080</v>
      </c>
      <c r="E12" s="17" t="n">
        <v>5828</v>
      </c>
      <c r="F12" s="17" t="n">
        <v>7621</v>
      </c>
      <c r="G12" s="17" t="n">
        <v>8364</v>
      </c>
      <c r="H12" s="17" t="n">
        <v>9116</v>
      </c>
    </row>
    <row r="13" customFormat="false" ht="15" hidden="false" customHeight="false" outlineLevel="0" collapsed="false">
      <c r="A13" s="10" t="s">
        <v>49</v>
      </c>
      <c r="B13" s="19" t="n">
        <v>43.1</v>
      </c>
      <c r="C13" s="19" t="n">
        <v>48.44</v>
      </c>
      <c r="D13" s="19" t="n">
        <v>75.96</v>
      </c>
      <c r="E13" s="19" t="n">
        <v>87.14</v>
      </c>
      <c r="F13" s="19" t="n">
        <v>113.96</v>
      </c>
      <c r="G13" s="19" t="n">
        <v>125.07</v>
      </c>
      <c r="H13" s="19" t="n">
        <v>136.3</v>
      </c>
    </row>
    <row r="14" customFormat="false" ht="15" hidden="false" customHeight="false" outlineLevel="0" collapsed="false">
      <c r="A14" s="10" t="s">
        <v>50</v>
      </c>
      <c r="B14" s="18" t="n">
        <v>0.39</v>
      </c>
      <c r="C14" s="18" t="n">
        <v>0.31</v>
      </c>
      <c r="D14" s="18" t="n">
        <v>0.26</v>
      </c>
      <c r="E14" s="18" t="n">
        <v>0.32</v>
      </c>
      <c r="F14" s="18" t="n">
        <v>0.31</v>
      </c>
      <c r="G14" s="18" t="n">
        <v>0.32</v>
      </c>
      <c r="H14" s="18" t="n">
        <v>0.33</v>
      </c>
    </row>
    <row r="16" customFormat="false" ht="15" hidden="false" customHeight="false" outlineLevel="0" collapsed="false">
      <c r="A16" s="20" t="s">
        <v>51</v>
      </c>
    </row>
    <row r="17" customFormat="false" ht="15" hidden="false" customHeight="false" outlineLevel="0" collapsed="false">
      <c r="A17" s="10" t="s">
        <v>52</v>
      </c>
      <c r="B17" s="17" t="n">
        <v>334</v>
      </c>
      <c r="C17" s="17" t="n">
        <v>334</v>
      </c>
      <c r="D17" s="17" t="n">
        <v>334</v>
      </c>
      <c r="E17" s="17" t="n">
        <v>334</v>
      </c>
      <c r="F17" s="17" t="n">
        <v>334</v>
      </c>
      <c r="G17" s="17" t="n">
        <v>334</v>
      </c>
      <c r="H17" s="17" t="n">
        <v>334</v>
      </c>
    </row>
    <row r="18" customFormat="false" ht="15" hidden="false" customHeight="false" outlineLevel="0" collapsed="false">
      <c r="A18" s="10" t="s">
        <v>53</v>
      </c>
      <c r="B18" s="17" t="n">
        <v>12914</v>
      </c>
      <c r="C18" s="17" t="n">
        <v>15078</v>
      </c>
      <c r="D18" s="17" t="n">
        <v>18979</v>
      </c>
      <c r="E18" s="17" t="n">
        <v>23238</v>
      </c>
      <c r="F18" s="17" t="n">
        <v>28804</v>
      </c>
      <c r="G18" s="17" t="n">
        <v>34647</v>
      </c>
      <c r="H18" s="17" t="n">
        <v>40707</v>
      </c>
    </row>
    <row r="19" customFormat="false" ht="15" hidden="false" customHeight="false" outlineLevel="0" collapsed="false">
      <c r="A19" s="10" t="s">
        <v>54</v>
      </c>
      <c r="B19" s="17" t="n">
        <v>5927</v>
      </c>
      <c r="C19" s="17" t="n">
        <v>51</v>
      </c>
      <c r="D19" s="17" t="n">
        <v>49</v>
      </c>
      <c r="E19" s="17" t="n">
        <v>52</v>
      </c>
      <c r="F19" s="17" t="n">
        <v>50</v>
      </c>
      <c r="G19" s="17" t="n">
        <v>51</v>
      </c>
      <c r="H19" s="17" t="n">
        <v>66</v>
      </c>
    </row>
    <row r="20" customFormat="false" ht="15" hidden="false" customHeight="false" outlineLevel="0" collapsed="false">
      <c r="A20" s="10" t="s">
        <v>55</v>
      </c>
      <c r="B20" s="17" t="n">
        <v>35027</v>
      </c>
      <c r="C20" s="17" t="n">
        <v>37815</v>
      </c>
      <c r="D20" s="17" t="n">
        <v>40892</v>
      </c>
      <c r="E20" s="17" t="n">
        <v>45652</v>
      </c>
      <c r="F20" s="17" t="n">
        <v>51723</v>
      </c>
      <c r="G20" s="17" t="n">
        <v>73665</v>
      </c>
      <c r="H20" s="17" t="n">
        <v>93288</v>
      </c>
    </row>
    <row r="21" customFormat="false" ht="15" hidden="false" customHeight="false" outlineLevel="0" collapsed="false">
      <c r="A21" s="10" t="s">
        <v>56</v>
      </c>
      <c r="B21" s="17" t="n">
        <v>54203</v>
      </c>
      <c r="C21" s="17" t="n">
        <v>53278</v>
      </c>
      <c r="D21" s="17" t="n">
        <v>60254</v>
      </c>
      <c r="E21" s="17" t="n">
        <v>69276</v>
      </c>
      <c r="F21" s="17" t="n">
        <v>80911</v>
      </c>
      <c r="G21" s="17" t="n">
        <v>108698</v>
      </c>
      <c r="H21" s="17" t="n">
        <v>134395</v>
      </c>
    </row>
    <row r="22" customFormat="false" ht="15" hidden="false" customHeight="false" outlineLevel="0" collapsed="false">
      <c r="A22" s="10" t="s">
        <v>57</v>
      </c>
      <c r="B22" s="17" t="n">
        <v>7357</v>
      </c>
      <c r="C22" s="17" t="n">
        <v>7491</v>
      </c>
      <c r="D22" s="17" t="n">
        <v>6766</v>
      </c>
      <c r="E22" s="17" t="n">
        <v>6834</v>
      </c>
      <c r="F22" s="17" t="n">
        <v>6737</v>
      </c>
      <c r="G22" s="17" t="n">
        <v>6671</v>
      </c>
      <c r="H22" s="17" t="n">
        <v>7293</v>
      </c>
    </row>
    <row r="23" customFormat="false" ht="15" hidden="false" customHeight="false" outlineLevel="0" collapsed="false">
      <c r="A23" s="10" t="s">
        <v>58</v>
      </c>
      <c r="B23" s="17" t="n">
        <v>2043</v>
      </c>
      <c r="C23" s="17" t="n">
        <v>2078</v>
      </c>
      <c r="D23" s="17" t="n">
        <v>2473</v>
      </c>
      <c r="E23" s="17" t="n">
        <v>1885</v>
      </c>
      <c r="F23" s="17" t="n">
        <v>2493</v>
      </c>
      <c r="G23" s="17" t="n">
        <v>3098</v>
      </c>
      <c r="H23" s="17" t="n">
        <v>3313</v>
      </c>
    </row>
    <row r="24" customFormat="false" ht="15" hidden="false" customHeight="false" outlineLevel="0" collapsed="false">
      <c r="A24" s="10" t="s">
        <v>59</v>
      </c>
      <c r="B24" s="17" t="n">
        <v>991</v>
      </c>
      <c r="C24" s="17" t="n">
        <v>1056</v>
      </c>
      <c r="D24" s="17" t="n">
        <v>1363</v>
      </c>
      <c r="E24" s="17" t="n">
        <v>1458</v>
      </c>
      <c r="F24" s="17" t="n">
        <v>1591</v>
      </c>
      <c r="G24" s="17" t="n">
        <v>1754</v>
      </c>
      <c r="H24" s="17" t="n">
        <v>1914</v>
      </c>
    </row>
    <row r="25" customFormat="false" ht="15" hidden="false" customHeight="false" outlineLevel="0" collapsed="false">
      <c r="A25" s="10" t="s">
        <v>60</v>
      </c>
      <c r="B25" s="17" t="n">
        <v>43812</v>
      </c>
      <c r="C25" s="17" t="n">
        <v>42654</v>
      </c>
      <c r="D25" s="17" t="n">
        <v>49653</v>
      </c>
      <c r="E25" s="17" t="n">
        <v>59099</v>
      </c>
      <c r="F25" s="17" t="n">
        <v>70089</v>
      </c>
      <c r="G25" s="17" t="n">
        <v>97176</v>
      </c>
      <c r="H25" s="17" t="n">
        <v>121875</v>
      </c>
    </row>
    <row r="26" customFormat="false" ht="15" hidden="false" customHeight="false" outlineLevel="0" collapsed="false">
      <c r="A26" s="10" t="s">
        <v>61</v>
      </c>
      <c r="B26" s="17" t="n">
        <v>54203</v>
      </c>
      <c r="C26" s="17" t="n">
        <v>53278</v>
      </c>
      <c r="D26" s="17" t="n">
        <v>60254</v>
      </c>
      <c r="E26" s="17" t="n">
        <v>69276</v>
      </c>
      <c r="F26" s="17" t="n">
        <v>80911</v>
      </c>
      <c r="G26" s="17" t="n">
        <v>108698</v>
      </c>
      <c r="H26" s="17" t="n">
        <v>134395</v>
      </c>
    </row>
    <row r="28" customFormat="false" ht="15" hidden="false" customHeight="false" outlineLevel="0" collapsed="false">
      <c r="A28" s="20" t="s">
        <v>62</v>
      </c>
    </row>
    <row r="29" customFormat="false" ht="15" hidden="false" customHeight="false" outlineLevel="0" collapsed="false">
      <c r="A29" s="10" t="s">
        <v>63</v>
      </c>
      <c r="B29" s="17" t="n">
        <v>1527</v>
      </c>
      <c r="C29" s="17" t="n">
        <v>15263</v>
      </c>
      <c r="D29" s="17" t="n">
        <v>10173</v>
      </c>
      <c r="E29" s="17" t="n">
        <v>8830</v>
      </c>
      <c r="F29" s="17" t="n">
        <v>8223</v>
      </c>
      <c r="G29" s="17" t="n">
        <v>13643</v>
      </c>
      <c r="H29" s="17" t="n">
        <v>10906</v>
      </c>
    </row>
    <row r="30" customFormat="false" ht="15" hidden="false" customHeight="false" outlineLevel="0" collapsed="false">
      <c r="A30" s="10" t="s">
        <v>64</v>
      </c>
      <c r="B30" s="17" t="n">
        <v>-1339</v>
      </c>
      <c r="C30" s="17" t="n">
        <v>-1271</v>
      </c>
      <c r="D30" s="17" t="n">
        <v>-12785</v>
      </c>
      <c r="E30" s="17" t="n">
        <v>-5728</v>
      </c>
      <c r="F30" s="17" t="n">
        <v>-6410</v>
      </c>
      <c r="G30" s="17" t="n">
        <v>-10771</v>
      </c>
      <c r="H30" s="17" t="n">
        <v>-8337</v>
      </c>
    </row>
    <row r="31" customFormat="false" ht="15" hidden="false" customHeight="false" outlineLevel="0" collapsed="false">
      <c r="A31" s="10" t="s">
        <v>65</v>
      </c>
      <c r="B31" s="17" t="n">
        <v>64</v>
      </c>
      <c r="C31" s="17" t="n">
        <v>-7125</v>
      </c>
      <c r="D31" s="17" t="n">
        <v>-1464</v>
      </c>
      <c r="E31" s="17" t="n">
        <v>-1731</v>
      </c>
      <c r="F31" s="17" t="n">
        <v>-1999</v>
      </c>
      <c r="G31" s="17" t="n">
        <v>-2579</v>
      </c>
      <c r="H31" s="17" t="n">
        <v>-3350</v>
      </c>
    </row>
    <row r="32" customFormat="false" ht="15" hidden="false" customHeight="false" outlineLevel="0" collapsed="false">
      <c r="A32" s="10" t="s">
        <v>66</v>
      </c>
      <c r="B32" s="17" t="n">
        <v>252</v>
      </c>
      <c r="C32" s="17" t="n">
        <v>6867</v>
      </c>
      <c r="D32" s="17" t="n">
        <v>-4076</v>
      </c>
      <c r="E32" s="17" t="n">
        <v>1370</v>
      </c>
      <c r="F32" s="17" t="n">
        <v>-186</v>
      </c>
      <c r="G32" s="17" t="n">
        <v>294</v>
      </c>
      <c r="H32" s="17" t="n">
        <v>-781</v>
      </c>
    </row>
    <row r="33" customFormat="false" ht="15" hidden="false" customHeight="false" outlineLevel="0" collapsed="false">
      <c r="A33" s="10" t="s">
        <v>67</v>
      </c>
      <c r="B33" s="17" t="n">
        <v>148</v>
      </c>
      <c r="C33" s="17" t="n">
        <v>13947</v>
      </c>
      <c r="D33" s="17" t="n">
        <v>8676</v>
      </c>
      <c r="E33" s="17" t="n">
        <v>7054</v>
      </c>
      <c r="F33" s="17" t="n">
        <v>6476</v>
      </c>
      <c r="G33" s="17" t="n">
        <v>11890</v>
      </c>
      <c r="H33" s="17" t="n">
        <v>8438</v>
      </c>
    </row>
    <row r="35" customFormat="false" ht="15" hidden="false" customHeight="false" outlineLevel="0" collapsed="false">
      <c r="A35" s="20" t="s">
        <v>68</v>
      </c>
    </row>
    <row r="36" customFormat="false" ht="15" hidden="false" customHeight="false" outlineLevel="0" collapsed="false">
      <c r="A36" s="10" t="s">
        <v>69</v>
      </c>
      <c r="B36" s="17" t="n">
        <v>191</v>
      </c>
      <c r="C36" s="17" t="n">
        <v>90</v>
      </c>
      <c r="D36" s="17" t="n">
        <v>69</v>
      </c>
      <c r="E36" s="17" t="n">
        <v>64</v>
      </c>
      <c r="F36" s="17" t="n">
        <v>55</v>
      </c>
      <c r="G36" s="17" t="n">
        <v>55</v>
      </c>
      <c r="H36" s="17" t="n">
        <v>45</v>
      </c>
    </row>
    <row r="37" customFormat="false" ht="15" hidden="false" customHeight="false" outlineLevel="0" collapsed="false">
      <c r="A37" s="10" t="s">
        <v>70</v>
      </c>
      <c r="B37" s="17" t="n">
        <v>815</v>
      </c>
      <c r="C37" s="17" t="n">
        <v>605</v>
      </c>
      <c r="D37" s="17" t="n">
        <v>607</v>
      </c>
      <c r="E37" s="17" t="n">
        <v>527</v>
      </c>
      <c r="F37" s="17" t="n">
        <v>544</v>
      </c>
      <c r="G37" s="17" t="n">
        <v>736</v>
      </c>
      <c r="H37" s="17" t="n">
        <v>859</v>
      </c>
    </row>
    <row r="38" customFormat="false" ht="15" hidden="false" customHeight="false" outlineLevel="0" collapsed="false">
      <c r="A38" s="10" t="s">
        <v>71</v>
      </c>
      <c r="B38" s="17" t="n">
        <v>163</v>
      </c>
      <c r="C38" s="17" t="n">
        <v>76</v>
      </c>
      <c r="D38" s="17" t="n">
        <v>96</v>
      </c>
      <c r="E38" s="17" t="n">
        <v>116</v>
      </c>
      <c r="F38" s="17" t="n">
        <v>116</v>
      </c>
      <c r="G38" s="17" t="n">
        <v>156</v>
      </c>
      <c r="H38" s="17" t="n">
        <v>116</v>
      </c>
    </row>
    <row r="39" customFormat="false" ht="15" hidden="false" customHeight="false" outlineLevel="0" collapsed="false">
      <c r="A39" s="10" t="s">
        <v>72</v>
      </c>
      <c r="B39" s="17" t="n">
        <v>843</v>
      </c>
      <c r="C39" s="17" t="n">
        <v>620</v>
      </c>
      <c r="D39" s="17" t="n">
        <v>580</v>
      </c>
      <c r="E39" s="17" t="n">
        <v>475</v>
      </c>
      <c r="F39" s="17" t="n">
        <v>484</v>
      </c>
      <c r="G39" s="17" t="n">
        <v>634</v>
      </c>
      <c r="H39" s="17" t="n">
        <v>788</v>
      </c>
    </row>
    <row r="40" customFormat="false" ht="15" hidden="false" customHeight="false" outlineLevel="0" collapsed="false">
      <c r="A40" s="10" t="s">
        <v>73</v>
      </c>
      <c r="B40" s="18" t="n">
        <v>0.24</v>
      </c>
      <c r="C40" s="18" t="n">
        <v>0.26</v>
      </c>
      <c r="D40" s="18" t="n">
        <v>0.3</v>
      </c>
      <c r="E40" s="18" t="n">
        <v>0.31</v>
      </c>
      <c r="F40" s="18" t="n">
        <v>0.39</v>
      </c>
      <c r="G40" s="18" t="n">
        <v>0.34</v>
      </c>
      <c r="H40" s="18" t="n">
        <v>0.32</v>
      </c>
    </row>
    <row r="42" customFormat="false" ht="15" hidden="false" customHeight="false" outlineLevel="0" collapsed="false">
      <c r="A42" s="20" t="s">
        <v>74</v>
      </c>
    </row>
    <row r="43" customFormat="false" ht="15" hidden="false" customHeight="false" outlineLevel="0" collapsed="false">
      <c r="A43" s="10" t="s">
        <v>75</v>
      </c>
      <c r="C43" s="21" t="n">
        <f aca="false">C5/B5-1</f>
        <v>0.0610865003497318</v>
      </c>
      <c r="D43" s="21" t="n">
        <f aca="false">D5/C5-1</f>
        <v>0.0819600087892771</v>
      </c>
      <c r="E43" s="21" t="n">
        <f aca="false">E5/D5-1</f>
        <v>0.0937043054427296</v>
      </c>
      <c r="F43" s="21" t="n">
        <f aca="false">F5/E5-1</f>
        <v>0.128272737401122</v>
      </c>
      <c r="G43" s="21" t="n">
        <f aca="false">G5/F5-1</f>
        <v>0.0197491853461045</v>
      </c>
      <c r="H43" s="21" t="n">
        <f aca="false">H5/G5-1</f>
        <v>0.0680417029792453</v>
      </c>
    </row>
    <row r="44" customFormat="false" ht="15" hidden="false" customHeight="false" outlineLevel="0" collapsed="false">
      <c r="A44" s="10" t="s">
        <v>28</v>
      </c>
      <c r="B44" s="21" t="n">
        <f aca="false">B6/B5</f>
        <v>0.229144322685941</v>
      </c>
      <c r="C44" s="21" t="n">
        <f aca="false">C6/C5</f>
        <v>0.235420786640299</v>
      </c>
      <c r="D44" s="21" t="n">
        <f aca="false">D6/D5</f>
        <v>0.219943135662063</v>
      </c>
      <c r="E44" s="21" t="n">
        <f aca="false">E6/E5</f>
        <v>0.248300961859843</v>
      </c>
      <c r="F44" s="21" t="n">
        <f aca="false">F6/F5</f>
        <v>0.320990092492018</v>
      </c>
      <c r="G44" s="21" t="n">
        <f aca="false">G6/G5</f>
        <v>0.310545172847875</v>
      </c>
      <c r="H44" s="21" t="n">
        <f aca="false">H6/H5</f>
        <v>0.295808274653208</v>
      </c>
    </row>
    <row r="45" customFormat="false" ht="15" hidden="false" customHeight="false" outlineLevel="0" collapsed="false">
      <c r="A45" s="10" t="s">
        <v>76</v>
      </c>
      <c r="C45" s="21" t="n">
        <f aca="false">C6/B6-1</f>
        <v>0.0901505901505901</v>
      </c>
      <c r="D45" s="21" t="n">
        <f aca="false">D6/C6-1</f>
        <v>0.010826955385477</v>
      </c>
      <c r="E45" s="21" t="n">
        <f aca="false">E6/D6-1</f>
        <v>0.23471837488458</v>
      </c>
      <c r="F45" s="21" t="n">
        <f aca="false">F6/E6-1</f>
        <v>0.458570146574933</v>
      </c>
      <c r="G45" s="21" t="n">
        <f aca="false">G6/F6-1</f>
        <v>-0.0134331419196062</v>
      </c>
      <c r="H45" s="21" t="n">
        <f aca="false">H6/G6-1</f>
        <v>0.0173578630080034</v>
      </c>
    </row>
    <row r="46" customFormat="false" ht="15" hidden="false" customHeight="false" outlineLevel="0" collapsed="false">
      <c r="A46" s="10" t="s">
        <v>77</v>
      </c>
      <c r="C46" s="21" t="n">
        <f aca="false">C12/B12-1</f>
        <v>0.123482483524107</v>
      </c>
      <c r="D46" s="21" t="n">
        <f aca="false">D12/C12-1</f>
        <v>0.568385304106206</v>
      </c>
      <c r="E46" s="21" t="n">
        <f aca="false">E12/D12-1</f>
        <v>0.147244094488189</v>
      </c>
      <c r="F46" s="21" t="n">
        <f aca="false">F12/E12-1</f>
        <v>0.307652711050103</v>
      </c>
      <c r="G46" s="21" t="n">
        <f aca="false">G12/F12-1</f>
        <v>0.0974937672221494</v>
      </c>
      <c r="H46" s="21" t="n">
        <f aca="false">H12/G12-1</f>
        <v>0.0899091343854614</v>
      </c>
    </row>
    <row r="47" customFormat="false" ht="15" hidden="false" customHeight="false" outlineLevel="0" collapsed="false">
      <c r="A47" s="10" t="s">
        <v>78</v>
      </c>
      <c r="B47" s="21" t="n">
        <f aca="false">B7/B10</f>
        <v>0.106308117617492</v>
      </c>
      <c r="C47" s="21" t="n">
        <f aca="false">C7/C10</f>
        <v>0.0853401917231705</v>
      </c>
      <c r="D47" s="21" t="n">
        <f aca="false">D7/D10</f>
        <v>0.188516746411483</v>
      </c>
      <c r="E47" s="21" t="n">
        <f aca="false">E7/E10</f>
        <v>0.256989247311828</v>
      </c>
      <c r="F47" s="21" t="n">
        <f aca="false">F7/F10</f>
        <v>0.188068459657702</v>
      </c>
      <c r="G47" s="21" t="n">
        <f aca="false">G7/G10</f>
        <v>0.23999263826263</v>
      </c>
      <c r="H47" s="21" t="n">
        <f aca="false">H7/H10</f>
        <v>0.308015141540487</v>
      </c>
    </row>
    <row r="48" customFormat="false" ht="15" hidden="false" customHeight="false" outlineLevel="0" collapsed="false">
      <c r="A48" s="10" t="s">
        <v>79</v>
      </c>
      <c r="B48" s="22" t="n">
        <f aca="false">B10-B7</f>
        <v>3556</v>
      </c>
      <c r="C48" s="22" t="n">
        <f aca="false">C10-C7</f>
        <v>3912</v>
      </c>
      <c r="D48" s="22" t="n">
        <f aca="false">D10-D7</f>
        <v>4240</v>
      </c>
      <c r="E48" s="22" t="n">
        <f aca="false">E10-E7</f>
        <v>4837</v>
      </c>
      <c r="F48" s="22" t="n">
        <f aca="false">F10-F7</f>
        <v>8302</v>
      </c>
      <c r="G48" s="22" t="n">
        <f aca="false">G10-G7</f>
        <v>8259</v>
      </c>
      <c r="H48" s="22" t="n">
        <f aca="false">H10-H7</f>
        <v>8409</v>
      </c>
    </row>
    <row r="49" customFormat="false" ht="15" hidden="false" customHeight="false" outlineLevel="0" collapsed="false">
      <c r="A49" s="10" t="s">
        <v>80</v>
      </c>
      <c r="B49" s="22" t="n">
        <f aca="false">B17+B18</f>
        <v>13248</v>
      </c>
      <c r="C49" s="22" t="n">
        <f aca="false">C17+C18</f>
        <v>15412</v>
      </c>
      <c r="D49" s="22" t="n">
        <f aca="false">D17+D18</f>
        <v>19313</v>
      </c>
      <c r="E49" s="22" t="n">
        <f aca="false">E17+E18</f>
        <v>23572</v>
      </c>
      <c r="F49" s="22" t="n">
        <f aca="false">F17+F18</f>
        <v>29138</v>
      </c>
      <c r="G49" s="22" t="n">
        <f aca="false">G17+G18</f>
        <v>34981</v>
      </c>
      <c r="H49" s="22" t="n">
        <f aca="false">H17+H18</f>
        <v>41041</v>
      </c>
    </row>
    <row r="50" customFormat="false" ht="15" hidden="false" customHeight="false" outlineLevel="0" collapsed="false">
      <c r="A50" s="10" t="s">
        <v>81</v>
      </c>
      <c r="C50" s="21" t="n">
        <f aca="false">C12/AVERAGE(B49,C49)</f>
        <v>0.226029309141661</v>
      </c>
      <c r="D50" s="21" t="n">
        <f aca="false">D12/AVERAGE(C49,D49)</f>
        <v>0.292584593232541</v>
      </c>
      <c r="E50" s="21" t="n">
        <f aca="false">E12/AVERAGE(D49,E49)</f>
        <v>0.271796665500758</v>
      </c>
      <c r="F50" s="21" t="n">
        <f aca="false">F12/AVERAGE(E49,F49)</f>
        <v>0.28916714095997</v>
      </c>
      <c r="G50" s="21" t="n">
        <f aca="false">G12/AVERAGE(F49,G49)</f>
        <v>0.260889907827633</v>
      </c>
      <c r="H50" s="21" t="n">
        <f aca="false">H12/AVERAGE(G49,H49)</f>
        <v>0.239825313724974</v>
      </c>
    </row>
    <row r="51" customFormat="false" ht="15" hidden="false" customHeight="false" outlineLevel="0" collapsed="false">
      <c r="A51" s="10" t="s">
        <v>82</v>
      </c>
      <c r="B51" s="23" t="n">
        <f aca="false">B19/B49</f>
        <v>0.447388285024155</v>
      </c>
      <c r="C51" s="23" t="n">
        <f aca="false">C19/C49</f>
        <v>0.00330910978458344</v>
      </c>
      <c r="D51" s="23" t="n">
        <f aca="false">D19/D49</f>
        <v>0.00253715114171801</v>
      </c>
      <c r="E51" s="23" t="n">
        <f aca="false">E19/E49</f>
        <v>0.00220600712709995</v>
      </c>
      <c r="F51" s="23" t="n">
        <f aca="false">F19/F49</f>
        <v>0.00171597226988812</v>
      </c>
      <c r="G51" s="23" t="n">
        <f aca="false">G19/G49</f>
        <v>0.00145793430719533</v>
      </c>
      <c r="H51" s="23" t="n">
        <f aca="false">H19/H49</f>
        <v>0.00160814794961136</v>
      </c>
    </row>
    <row r="52" customFormat="false" ht="15" hidden="false" customHeight="false" outlineLevel="0" collapsed="false">
      <c r="A52" s="10" t="s">
        <v>31</v>
      </c>
      <c r="B52" s="21" t="n">
        <f aca="false">B29/B6</f>
        <v>0.310744810744811</v>
      </c>
      <c r="C52" s="21" t="n">
        <f aca="false">C29/C6</f>
        <v>2.84916931118163</v>
      </c>
      <c r="D52" s="21" t="n">
        <f aca="false">D29/D6</f>
        <v>1.8786703601108</v>
      </c>
      <c r="E52" s="21" t="n">
        <f aca="false">E29/E6</f>
        <v>1.32067005683518</v>
      </c>
      <c r="F52" s="21" t="n">
        <f aca="false">F29/F6</f>
        <v>0.843211648892535</v>
      </c>
      <c r="G52" s="21" t="n">
        <f aca="false">G29/G6</f>
        <v>1.41804386238437</v>
      </c>
      <c r="H52" s="21" t="n">
        <f aca="false">H29/H6</f>
        <v>1.11422149570903</v>
      </c>
    </row>
    <row r="53" customFormat="false" ht="15" hidden="false" customHeight="false" outlineLevel="0" collapsed="false">
      <c r="A53" s="10" t="s">
        <v>83</v>
      </c>
      <c r="B53" s="22" t="n">
        <f aca="false">B29-B33</f>
        <v>1379</v>
      </c>
      <c r="C53" s="22" t="n">
        <f aca="false">C29-C33</f>
        <v>1316</v>
      </c>
      <c r="D53" s="22" t="n">
        <f aca="false">D29-D33</f>
        <v>1497</v>
      </c>
      <c r="E53" s="22" t="n">
        <f aca="false">E29-E33</f>
        <v>1776</v>
      </c>
      <c r="F53" s="22" t="n">
        <f aca="false">F29-F33</f>
        <v>1747</v>
      </c>
      <c r="G53" s="22" t="n">
        <f aca="false">G29-G33</f>
        <v>1753</v>
      </c>
      <c r="H53" s="22" t="n">
        <f aca="false">H29-H33</f>
        <v>2468</v>
      </c>
    </row>
    <row r="54" customFormat="false" ht="15" hidden="false" customHeight="false" outlineLevel="0" collapsed="false">
      <c r="A54" s="10" t="s">
        <v>84</v>
      </c>
      <c r="B54" s="21" t="n">
        <f aca="false">B53/B5</f>
        <v>0.0643040335742597</v>
      </c>
      <c r="C54" s="21" t="n">
        <f aca="false">C53/C5</f>
        <v>0.0578334431992969</v>
      </c>
      <c r="D54" s="21" t="n">
        <f aca="false">D53/D5</f>
        <v>0.060804224207961</v>
      </c>
      <c r="E54" s="21" t="n">
        <f aca="false">E53/E5</f>
        <v>0.0659561035391986</v>
      </c>
      <c r="F54" s="21" t="n">
        <f aca="false">F53/F5</f>
        <v>0.0575030446660742</v>
      </c>
      <c r="G54" s="21" t="n">
        <f aca="false">G53/G5</f>
        <v>0.0565830670410897</v>
      </c>
      <c r="H54" s="21" t="n">
        <f aca="false">H53/H5</f>
        <v>0.0745867206624558</v>
      </c>
    </row>
    <row r="55" customFormat="false" ht="15" hidden="false" customHeight="false" outlineLevel="0" collapsed="false">
      <c r="A55" s="10" t="s">
        <v>85</v>
      </c>
      <c r="B55" s="21" t="n">
        <f aca="false">B33/B12</f>
        <v>0.051335414498786</v>
      </c>
      <c r="C55" s="21" t="n">
        <f aca="false">C33/C12</f>
        <v>4.30595862920655</v>
      </c>
      <c r="D55" s="21" t="n">
        <f aca="false">D33/D12</f>
        <v>1.70787401574803</v>
      </c>
      <c r="E55" s="21" t="n">
        <f aca="false">E33/E12</f>
        <v>1.21036376115305</v>
      </c>
      <c r="F55" s="21" t="n">
        <f aca="false">F33/F12</f>
        <v>0.849757249704763</v>
      </c>
      <c r="G55" s="21" t="n">
        <f aca="false">G33/G12</f>
        <v>1.42156862745098</v>
      </c>
      <c r="H55" s="21" t="n">
        <f aca="false">H33/H12</f>
        <v>0.925625274243089</v>
      </c>
    </row>
    <row r="56" customFormat="false" ht="15" hidden="false" customHeight="false" outlineLevel="0" collapsed="false">
      <c r="A56" s="10" t="s">
        <v>86</v>
      </c>
      <c r="B56" s="21" t="n">
        <f aca="false">B9/B5</f>
        <v>0.0465842853812077</v>
      </c>
      <c r="C56" s="21" t="n">
        <f aca="false">C9/C5</f>
        <v>0.0517688420127445</v>
      </c>
      <c r="D56" s="21" t="n">
        <f aca="false">D9/D5</f>
        <v>0.0451259138911454</v>
      </c>
      <c r="E56" s="21" t="n">
        <f aca="false">E9/E5</f>
        <v>0.0662903405503769</v>
      </c>
      <c r="F56" s="21" t="n">
        <f aca="false">F9/F5</f>
        <v>0.046311839636615</v>
      </c>
      <c r="G56" s="21" t="n">
        <f aca="false">G9/G5</f>
        <v>0.0432523159355734</v>
      </c>
      <c r="H56" s="21" t="n">
        <f aca="false">H9/H5</f>
        <v>0.0409501647073045</v>
      </c>
    </row>
    <row r="57" customFormat="false" ht="15" hidden="false" customHeight="false" outlineLevel="0" collapsed="false">
      <c r="A57" s="10" t="s">
        <v>87</v>
      </c>
      <c r="B57" s="24" t="n">
        <f aca="false">B6/$B6*100</f>
        <v>100</v>
      </c>
      <c r="C57" s="24" t="n">
        <f aca="false">C6/$B6*100</f>
        <v>109.015059015059</v>
      </c>
      <c r="D57" s="24" t="n">
        <f aca="false">D6/$B6*100</f>
        <v>110.19536019536</v>
      </c>
      <c r="E57" s="24" t="n">
        <f aca="false">E6/$B6*100</f>
        <v>136.060236060236</v>
      </c>
      <c r="F57" s="24" t="n">
        <f aca="false">F6/$B6*100</f>
        <v>198.453398453398</v>
      </c>
      <c r="G57" s="24" t="n">
        <f aca="false">G6/$B6*100</f>
        <v>195.787545787546</v>
      </c>
      <c r="H57" s="24" t="n">
        <f aca="false">H6/$B6*100</f>
        <v>199.185999185999</v>
      </c>
    </row>
    <row r="58" customFormat="false" ht="15" hidden="false" customHeight="false" outlineLevel="0" collapsed="false">
      <c r="A58" s="10" t="s">
        <v>88</v>
      </c>
      <c r="B58" s="24" t="n">
        <f aca="false">B12/$B12*100</f>
        <v>100</v>
      </c>
      <c r="C58" s="24" t="n">
        <f aca="false">C12/$B12*100</f>
        <v>112.348248352411</v>
      </c>
      <c r="D58" s="24" t="n">
        <f aca="false">D12/$B12*100</f>
        <v>176.205341657995</v>
      </c>
      <c r="E58" s="24" t="n">
        <f aca="false">E12/$B12*100</f>
        <v>202.150537634409</v>
      </c>
      <c r="F58" s="24" t="n">
        <f aca="false">F12/$B12*100</f>
        <v>264.34269857787</v>
      </c>
      <c r="G58" s="24" t="n">
        <f aca="false">G12/$B12*100</f>
        <v>290.114464099896</v>
      </c>
      <c r="H58" s="24" t="n">
        <f aca="false">H12/$B12*100</f>
        <v>316.19840443982</v>
      </c>
    </row>
    <row r="59" customFormat="false" ht="15" hidden="false" customHeight="false" outlineLevel="0" collapsed="false">
      <c r="A59" s="10" t="s">
        <v>89</v>
      </c>
      <c r="B59" s="22" t="n">
        <f aca="false">B26-B21</f>
        <v>0</v>
      </c>
      <c r="C59" s="22" t="n">
        <f aca="false">C26-C21</f>
        <v>0</v>
      </c>
      <c r="D59" s="22" t="n">
        <f aca="false">D26-D21</f>
        <v>0</v>
      </c>
      <c r="E59" s="22" t="n">
        <f aca="false">E26-E21</f>
        <v>0</v>
      </c>
      <c r="F59" s="22" t="n">
        <f aca="false">F26-F21</f>
        <v>0</v>
      </c>
      <c r="G59" s="22" t="n">
        <f aca="false">G26-G21</f>
        <v>0</v>
      </c>
      <c r="H59" s="22" t="n">
        <f aca="false">H26-H21</f>
        <v>0</v>
      </c>
    </row>
    <row r="60" customFormat="false" ht="15" hidden="false" customHeight="false" outlineLevel="0" collapsed="false">
      <c r="A60" s="10" t="s">
        <v>90</v>
      </c>
      <c r="B60" s="22" t="n">
        <f aca="false">B17+B18+B19+B20-B21</f>
        <v>-1</v>
      </c>
      <c r="C60" s="22" t="n">
        <f aca="false">C17+C18+C19+C20-C21</f>
        <v>0</v>
      </c>
      <c r="D60" s="22" t="n">
        <f aca="false">D17+D18+D19+D20-D21</f>
        <v>0</v>
      </c>
      <c r="E60" s="22" t="n">
        <f aca="false">E17+E18+E19+E20-E21</f>
        <v>0</v>
      </c>
      <c r="F60" s="22" t="n">
        <f aca="false">F17+F18+F19+F20-F21</f>
        <v>0</v>
      </c>
      <c r="G60" s="22" t="n">
        <f aca="false">G17+G18+G19+G20-G21</f>
        <v>-1</v>
      </c>
      <c r="H60" s="22" t="n">
        <f aca="false">H17+H18+H19+H20-H21</f>
        <v>0</v>
      </c>
    </row>
    <row r="61" customFormat="false" ht="15" hidden="false" customHeight="false" outlineLevel="0" collapsed="false">
      <c r="A61" s="2" t="s">
        <v>91</v>
      </c>
    </row>
    <row r="63" customFormat="false" ht="15" hidden="false" customHeight="false" outlineLevel="0" collapsed="false">
      <c r="A63" s="20" t="s">
        <v>92</v>
      </c>
    </row>
    <row r="64" customFormat="false" ht="15" hidden="false" customHeight="false" outlineLevel="0" collapsed="false">
      <c r="A64" s="3"/>
      <c r="B64" s="4" t="s">
        <v>20</v>
      </c>
      <c r="C64" s="4" t="s">
        <v>21</v>
      </c>
      <c r="D64" s="4" t="s">
        <v>22</v>
      </c>
    </row>
    <row r="65" customFormat="false" ht="15" hidden="false" customHeight="false" outlineLevel="0" collapsed="false">
      <c r="A65" s="10" t="s">
        <v>93</v>
      </c>
      <c r="B65" s="17" t="n">
        <v>94000</v>
      </c>
      <c r="C65" s="17" t="n">
        <v>189302</v>
      </c>
      <c r="D65" s="17" t="n">
        <v>254538</v>
      </c>
    </row>
    <row r="66" customFormat="false" ht="15" hidden="false" customHeight="false" outlineLevel="0" collapsed="false">
      <c r="A66" s="10" t="s">
        <v>94</v>
      </c>
      <c r="B66" s="25" t="n">
        <f aca="false">B65/F5</f>
        <v>3.09403903755637</v>
      </c>
      <c r="C66" s="25" t="n">
        <f aca="false">C65/G5</f>
        <v>6.110261127788</v>
      </c>
      <c r="D66" s="25" t="n">
        <f aca="false">D65/H5</f>
        <v>7.69252621717187</v>
      </c>
    </row>
    <row r="67" customFormat="false" ht="15" hidden="false" customHeight="false" outlineLevel="0" collapsed="false">
      <c r="A67" s="10" t="s">
        <v>95</v>
      </c>
      <c r="D67" s="17" t="n">
        <v>97028</v>
      </c>
    </row>
    <row r="69" customFormat="false" ht="15" hidden="false" customHeight="false" outlineLevel="0" collapsed="false">
      <c r="A69" s="20" t="s">
        <v>96</v>
      </c>
    </row>
    <row r="70" customFormat="false" ht="15" hidden="false" customHeight="false" outlineLevel="0" collapsed="false">
      <c r="A70" s="3"/>
      <c r="B70" s="4" t="s">
        <v>97</v>
      </c>
      <c r="C70" s="4" t="s">
        <v>98</v>
      </c>
      <c r="D70" s="4" t="s">
        <v>99</v>
      </c>
      <c r="E70" s="4" t="s">
        <v>100</v>
      </c>
      <c r="F70" s="4" t="s">
        <v>101</v>
      </c>
      <c r="G70" s="4" t="s">
        <v>102</v>
      </c>
      <c r="H70" s="4" t="s">
        <v>103</v>
      </c>
      <c r="I70" s="4" t="s">
        <v>104</v>
      </c>
      <c r="J70" s="4" t="s">
        <v>105</v>
      </c>
      <c r="K70" s="4" t="s">
        <v>106</v>
      </c>
      <c r="L70" s="4" t="s">
        <v>107</v>
      </c>
      <c r="M70" s="4" t="s">
        <v>108</v>
      </c>
      <c r="N70" s="4" t="s">
        <v>109</v>
      </c>
    </row>
    <row r="71" customFormat="false" ht="15" hidden="false" customHeight="false" outlineLevel="0" collapsed="false">
      <c r="A71" s="10" t="s">
        <v>110</v>
      </c>
      <c r="B71" s="17" t="n">
        <v>3915</v>
      </c>
      <c r="C71" s="17" t="n">
        <v>5636</v>
      </c>
      <c r="D71" s="17" t="n">
        <v>6061</v>
      </c>
      <c r="E71" s="17" t="n">
        <v>14769</v>
      </c>
      <c r="F71" s="17" t="n">
        <v>4348</v>
      </c>
      <c r="G71" s="17" t="n">
        <v>5976</v>
      </c>
      <c r="H71" s="17" t="n">
        <v>6957</v>
      </c>
      <c r="I71" s="17" t="n">
        <v>13700</v>
      </c>
      <c r="J71" s="17" t="n">
        <v>4819</v>
      </c>
      <c r="K71" s="17" t="n">
        <v>6629</v>
      </c>
      <c r="L71" s="17" t="n">
        <v>7699</v>
      </c>
      <c r="M71" s="17" t="n">
        <v>13942</v>
      </c>
      <c r="N71" s="17" t="n">
        <v>5515</v>
      </c>
    </row>
    <row r="72" customFormat="false" ht="15" hidden="false" customHeight="false" outlineLevel="0" collapsed="false">
      <c r="A72" s="10" t="s">
        <v>111</v>
      </c>
      <c r="B72" s="17" t="n">
        <v>877</v>
      </c>
      <c r="C72" s="17" t="n">
        <v>1528</v>
      </c>
      <c r="D72" s="17" t="n">
        <v>1435</v>
      </c>
      <c r="E72" s="17" t="n">
        <v>5901</v>
      </c>
      <c r="F72" s="17" t="n">
        <v>991</v>
      </c>
      <c r="G72" s="17" t="n">
        <v>1640</v>
      </c>
      <c r="H72" s="17" t="n">
        <v>1683</v>
      </c>
      <c r="I72" s="17" t="n">
        <v>5295</v>
      </c>
      <c r="J72" s="17" t="n">
        <v>1282</v>
      </c>
      <c r="K72" s="17" t="n">
        <v>1558</v>
      </c>
      <c r="L72" s="17" t="n">
        <v>1871</v>
      </c>
      <c r="M72" s="17" t="n">
        <v>5059</v>
      </c>
      <c r="N72" s="17" t="n">
        <v>1527</v>
      </c>
    </row>
    <row r="73" customFormat="false" ht="15" hidden="false" customHeight="false" outlineLevel="0" collapsed="false">
      <c r="A73" s="10" t="s">
        <v>43</v>
      </c>
      <c r="B73" s="17" t="n">
        <v>414</v>
      </c>
      <c r="C73" s="17" t="n">
        <v>474</v>
      </c>
      <c r="D73" s="17" t="n">
        <v>467</v>
      </c>
      <c r="E73" s="17" t="n">
        <v>569</v>
      </c>
      <c r="F73" s="17" t="n">
        <v>742</v>
      </c>
      <c r="G73" s="17" t="n">
        <v>560</v>
      </c>
      <c r="H73" s="17" t="n">
        <v>637</v>
      </c>
      <c r="I73" s="17" t="n">
        <v>669</v>
      </c>
      <c r="J73" s="17" t="n">
        <v>757</v>
      </c>
      <c r="K73" s="17" t="n">
        <v>895</v>
      </c>
      <c r="L73" s="17" t="n">
        <v>927</v>
      </c>
      <c r="M73" s="17" t="n">
        <v>1164</v>
      </c>
      <c r="N73" s="17" t="n">
        <v>912</v>
      </c>
    </row>
    <row r="74" customFormat="false" ht="15" hidden="false" customHeight="false" outlineLevel="0" collapsed="false">
      <c r="A74" s="10" t="s">
        <v>27</v>
      </c>
      <c r="B74" s="17" t="n">
        <v>814</v>
      </c>
      <c r="C74" s="17" t="n">
        <v>1237</v>
      </c>
      <c r="D74" s="17" t="n">
        <v>1262</v>
      </c>
      <c r="E74" s="17" t="n">
        <v>4309</v>
      </c>
      <c r="F74" s="17" t="n">
        <v>1437</v>
      </c>
      <c r="G74" s="17" t="n">
        <v>1510</v>
      </c>
      <c r="H74" s="17" t="n">
        <v>1440</v>
      </c>
      <c r="I74" s="17" t="n">
        <v>3977</v>
      </c>
      <c r="J74" s="17" t="n">
        <v>1384</v>
      </c>
      <c r="K74" s="17" t="n">
        <v>1669</v>
      </c>
      <c r="L74" s="17" t="n">
        <v>1867</v>
      </c>
      <c r="M74" s="17" t="n">
        <v>4196</v>
      </c>
      <c r="N74" s="17" t="n">
        <v>1590</v>
      </c>
    </row>
    <row r="75" customFormat="false" ht="15" hidden="false" customHeight="false" outlineLevel="0" collapsed="false">
      <c r="A75" s="10" t="s">
        <v>112</v>
      </c>
      <c r="B75" s="21" t="n">
        <f aca="false">B72/B71</f>
        <v>0.224010217113665</v>
      </c>
      <c r="C75" s="21" t="n">
        <f aca="false">C72/C71</f>
        <v>0.27111426543648</v>
      </c>
      <c r="D75" s="21" t="n">
        <f aca="false">D72/D71</f>
        <v>0.236759610625309</v>
      </c>
      <c r="E75" s="21" t="n">
        <f aca="false">E72/E71</f>
        <v>0.399553118017469</v>
      </c>
      <c r="F75" s="21" t="n">
        <f aca="false">F72/F71</f>
        <v>0.227920883164673</v>
      </c>
      <c r="G75" s="21" t="n">
        <f aca="false">G72/G71</f>
        <v>0.274431057563588</v>
      </c>
      <c r="H75" s="21" t="n">
        <f aca="false">H72/H71</f>
        <v>0.241914618369987</v>
      </c>
      <c r="I75" s="21" t="n">
        <f aca="false">I72/I71</f>
        <v>0.386496350364964</v>
      </c>
      <c r="J75" s="21" t="n">
        <f aca="false">J72/J71</f>
        <v>0.266030296742063</v>
      </c>
      <c r="K75" s="21" t="n">
        <f aca="false">K72/K71</f>
        <v>0.235027907678383</v>
      </c>
      <c r="L75" s="21" t="n">
        <f aca="false">L72/L71</f>
        <v>0.243018573840759</v>
      </c>
      <c r="M75" s="21" t="n">
        <f aca="false">M72/M71</f>
        <v>0.362860421747239</v>
      </c>
      <c r="N75" s="21" t="n">
        <f aca="false">N72/N71</f>
        <v>0.276881233000907</v>
      </c>
    </row>
    <row r="76" customFormat="false" ht="15" hidden="false" customHeight="false" outlineLevel="0" collapsed="false">
      <c r="A76" s="10" t="s">
        <v>113</v>
      </c>
      <c r="E76" s="21" t="n">
        <f aca="false">E71/SUM(B71:E71)</f>
        <v>0.486126197294362</v>
      </c>
      <c r="I76" s="21" t="n">
        <f aca="false">I71/SUM(F71:I71)</f>
        <v>0.442206513669669</v>
      </c>
      <c r="M76" s="21" t="n">
        <f aca="false">M71/SUM(J71:M71)</f>
        <v>0.421348484390583</v>
      </c>
    </row>
    <row r="77" customFormat="false" ht="15" hidden="false" customHeight="false" outlineLevel="0" collapsed="false">
      <c r="A77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11" min="4" style="0" width="11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3" customFormat="false" ht="15" hidden="false" customHeight="false" outlineLevel="0" collapsed="false">
      <c r="A3" s="3" t="s">
        <v>117</v>
      </c>
      <c r="B3" s="4" t="s">
        <v>3</v>
      </c>
      <c r="C3" s="4" t="s">
        <v>118</v>
      </c>
    </row>
    <row r="4" customFormat="false" ht="15" hidden="false" customHeight="false" outlineLevel="0" collapsed="false">
      <c r="A4" s="10" t="s">
        <v>119</v>
      </c>
      <c r="B4" s="19" t="n">
        <v>4655.6</v>
      </c>
      <c r="C4" s="2" t="s">
        <v>120</v>
      </c>
    </row>
    <row r="5" customFormat="false" ht="15" hidden="false" customHeight="false" outlineLevel="0" collapsed="false">
      <c r="A5" s="10" t="s">
        <v>121</v>
      </c>
      <c r="B5" s="19" t="n">
        <v>66.88</v>
      </c>
      <c r="C5" s="2" t="s">
        <v>122</v>
      </c>
    </row>
    <row r="6" customFormat="false" ht="15" hidden="false" customHeight="false" outlineLevel="0" collapsed="false">
      <c r="A6" s="10" t="s">
        <v>8</v>
      </c>
      <c r="B6" s="22" t="n">
        <f aca="false">B4*B5</f>
        <v>311366.528</v>
      </c>
      <c r="C6" s="2" t="s">
        <v>123</v>
      </c>
    </row>
    <row r="7" customFormat="false" ht="15" hidden="false" customHeight="false" outlineLevel="0" collapsed="false">
      <c r="A7" s="10" t="s">
        <v>124</v>
      </c>
      <c r="B7" s="17" t="n">
        <v>42425</v>
      </c>
      <c r="C7" s="2" t="s">
        <v>125</v>
      </c>
    </row>
    <row r="8" customFormat="false" ht="15" hidden="false" customHeight="false" outlineLevel="0" collapsed="false">
      <c r="A8" s="10" t="s">
        <v>126</v>
      </c>
      <c r="B8" s="11" t="n">
        <f aca="false">Historical!H24</f>
        <v>1914</v>
      </c>
      <c r="C8" s="2" t="s">
        <v>127</v>
      </c>
    </row>
    <row r="9" customFormat="false" ht="15" hidden="false" customHeight="false" outlineLevel="0" collapsed="false">
      <c r="A9" s="10" t="s">
        <v>128</v>
      </c>
      <c r="B9" s="11" t="n">
        <f aca="false">Historical!H19</f>
        <v>66</v>
      </c>
      <c r="C9" s="2" t="s">
        <v>127</v>
      </c>
    </row>
    <row r="10" customFormat="false" ht="15" hidden="false" customHeight="false" outlineLevel="0" collapsed="false">
      <c r="A10" s="10" t="s">
        <v>129</v>
      </c>
      <c r="B10" s="19" t="n">
        <v>45</v>
      </c>
      <c r="C10" s="2" t="s">
        <v>130</v>
      </c>
    </row>
    <row r="11" customFormat="false" ht="15" hidden="false" customHeight="false" outlineLevel="0" collapsed="false">
      <c r="A11" s="10" t="s">
        <v>131</v>
      </c>
      <c r="B11" s="21" t="n">
        <f aca="false">B10/B4</f>
        <v>0.00966577884697998</v>
      </c>
      <c r="C11" s="2" t="s">
        <v>123</v>
      </c>
    </row>
    <row r="12" customFormat="false" ht="15" hidden="false" customHeight="false" outlineLevel="0" collapsed="false">
      <c r="A12" s="10" t="s">
        <v>132</v>
      </c>
      <c r="B12" s="17" t="n">
        <v>193</v>
      </c>
      <c r="C12" s="2" t="s">
        <v>133</v>
      </c>
    </row>
    <row r="13" customFormat="false" ht="15" hidden="false" customHeight="false" outlineLevel="0" collapsed="false">
      <c r="A13" s="10" t="s">
        <v>134</v>
      </c>
      <c r="B13" s="26" t="n">
        <f aca="false">B12/365</f>
        <v>0.528767123287671</v>
      </c>
      <c r="C13" s="2" t="s">
        <v>135</v>
      </c>
    </row>
    <row r="15" customFormat="false" ht="15" hidden="false" customHeight="false" outlineLevel="0" collapsed="false">
      <c r="A15" s="3" t="s">
        <v>136</v>
      </c>
      <c r="B15" s="4" t="s">
        <v>3</v>
      </c>
      <c r="C15" s="4" t="s">
        <v>118</v>
      </c>
    </row>
    <row r="16" customFormat="false" ht="15" hidden="false" customHeight="false" outlineLevel="0" collapsed="false">
      <c r="A16" s="10" t="s">
        <v>137</v>
      </c>
      <c r="B16" s="27" t="n">
        <v>0.07</v>
      </c>
      <c r="C16" s="2" t="s">
        <v>138</v>
      </c>
    </row>
    <row r="17" customFormat="false" ht="15" hidden="false" customHeight="false" outlineLevel="0" collapsed="false">
      <c r="A17" s="10" t="s">
        <v>139</v>
      </c>
      <c r="B17" s="28" t="n">
        <v>0.95</v>
      </c>
      <c r="C17" s="2" t="s">
        <v>140</v>
      </c>
    </row>
    <row r="18" customFormat="false" ht="15" hidden="false" customHeight="false" outlineLevel="0" collapsed="false">
      <c r="A18" s="10" t="s">
        <v>141</v>
      </c>
      <c r="B18" s="27" t="n">
        <v>0.05</v>
      </c>
      <c r="C18" s="2" t="s">
        <v>142</v>
      </c>
    </row>
    <row r="19" customFormat="false" ht="15" hidden="false" customHeight="false" outlineLevel="0" collapsed="false">
      <c r="A19" s="10" t="s">
        <v>143</v>
      </c>
      <c r="B19" s="21" t="n">
        <f aca="false">B16+B17*B18</f>
        <v>0.1175</v>
      </c>
    </row>
    <row r="20" customFormat="false" ht="15" hidden="false" customHeight="false" outlineLevel="0" collapsed="false">
      <c r="A20" s="10" t="s">
        <v>144</v>
      </c>
      <c r="B20" s="21" t="n">
        <f aca="false">B19</f>
        <v>0.1175</v>
      </c>
    </row>
    <row r="21" customFormat="false" ht="15" hidden="false" customHeight="false" outlineLevel="0" collapsed="false">
      <c r="A21" s="10" t="s">
        <v>145</v>
      </c>
      <c r="B21" s="27" t="n">
        <v>0</v>
      </c>
    </row>
    <row r="22" customFormat="false" ht="15" hidden="false" customHeight="false" outlineLevel="0" collapsed="false">
      <c r="A22" s="10" t="s">
        <v>146</v>
      </c>
      <c r="B22" s="29" t="n">
        <f aca="false">B20+B21</f>
        <v>0.1175</v>
      </c>
    </row>
    <row r="23" customFormat="false" ht="15" hidden="false" customHeight="false" outlineLevel="0" collapsed="false">
      <c r="A23" s="10" t="s">
        <v>147</v>
      </c>
      <c r="B23" s="27" t="n">
        <v>0.05</v>
      </c>
      <c r="C23" s="2" t="s">
        <v>148</v>
      </c>
    </row>
    <row r="24" customFormat="false" ht="15" hidden="false" customHeight="false" outlineLevel="0" collapsed="false">
      <c r="A24" s="10" t="s">
        <v>149</v>
      </c>
      <c r="B24" s="27" t="n">
        <v>0.5</v>
      </c>
      <c r="C24" s="2" t="s">
        <v>150</v>
      </c>
    </row>
    <row r="26" customFormat="false" ht="15" hidden="false" customHeight="false" outlineLevel="0" collapsed="false">
      <c r="A26" s="3" t="s">
        <v>151</v>
      </c>
      <c r="B26" s="4" t="s">
        <v>3</v>
      </c>
      <c r="C26" s="4" t="s">
        <v>152</v>
      </c>
    </row>
    <row r="27" customFormat="false" ht="15" hidden="false" customHeight="false" outlineLevel="0" collapsed="false">
      <c r="A27" s="10" t="s">
        <v>153</v>
      </c>
      <c r="B27" s="27" t="n">
        <v>0</v>
      </c>
    </row>
    <row r="28" customFormat="false" ht="15" hidden="false" customHeight="false" outlineLevel="0" collapsed="false">
      <c r="A28" s="10" t="s">
        <v>154</v>
      </c>
      <c r="B28" s="27" t="n">
        <v>0</v>
      </c>
    </row>
    <row r="29" customFormat="false" ht="15" hidden="false" customHeight="false" outlineLevel="0" collapsed="false">
      <c r="A29" s="10" t="s">
        <v>155</v>
      </c>
      <c r="B29" s="18" t="n">
        <v>0.33</v>
      </c>
    </row>
    <row r="31" customFormat="false" ht="15" hidden="false" customHeight="false" outlineLevel="0" collapsed="false">
      <c r="A31" s="3" t="s">
        <v>156</v>
      </c>
      <c r="B31" s="4" t="s">
        <v>23</v>
      </c>
      <c r="C31" s="4" t="s">
        <v>24</v>
      </c>
      <c r="D31" s="4" t="s">
        <v>157</v>
      </c>
      <c r="E31" s="4" t="s">
        <v>158</v>
      </c>
      <c r="F31" s="4" t="s">
        <v>159</v>
      </c>
      <c r="G31" s="4" t="s">
        <v>160</v>
      </c>
      <c r="H31" s="4" t="s">
        <v>161</v>
      </c>
      <c r="I31" s="4" t="s">
        <v>162</v>
      </c>
      <c r="J31" s="4" t="s">
        <v>163</v>
      </c>
      <c r="K31" s="4" t="s">
        <v>164</v>
      </c>
    </row>
    <row r="32" customFormat="false" ht="15" hidden="false" customHeight="false" outlineLevel="0" collapsed="false">
      <c r="A32" s="10" t="s">
        <v>75</v>
      </c>
      <c r="B32" s="18" t="n">
        <v>0.11</v>
      </c>
      <c r="C32" s="18" t="n">
        <v>0.13</v>
      </c>
      <c r="D32" s="18" t="n">
        <v>0.13</v>
      </c>
      <c r="E32" s="18" t="n">
        <v>0.11</v>
      </c>
      <c r="F32" s="18" t="n">
        <v>0.1</v>
      </c>
      <c r="G32" s="18" t="n">
        <v>0.09</v>
      </c>
      <c r="H32" s="18" t="n">
        <v>0.08</v>
      </c>
      <c r="I32" s="18" t="n">
        <v>0.07</v>
      </c>
      <c r="J32" s="18" t="n">
        <v>0.065</v>
      </c>
      <c r="K32" s="18" t="n">
        <v>0.06</v>
      </c>
      <c r="L32" s="2" t="s">
        <v>165</v>
      </c>
    </row>
    <row r="33" customFormat="false" ht="15" hidden="false" customHeight="false" outlineLevel="0" collapsed="false">
      <c r="A33" s="10" t="s">
        <v>28</v>
      </c>
      <c r="B33" s="18" t="n">
        <v>0.295</v>
      </c>
      <c r="C33" s="18" t="n">
        <v>0.3</v>
      </c>
      <c r="D33" s="18" t="n">
        <v>0.3</v>
      </c>
      <c r="E33" s="18" t="n">
        <v>0.3</v>
      </c>
      <c r="F33" s="18" t="n">
        <v>0.3</v>
      </c>
      <c r="G33" s="18" t="n">
        <v>0.3</v>
      </c>
      <c r="H33" s="18" t="n">
        <v>0.3</v>
      </c>
      <c r="I33" s="18" t="n">
        <v>0.3</v>
      </c>
      <c r="J33" s="18" t="n">
        <v>0.3</v>
      </c>
      <c r="K33" s="18" t="n">
        <v>0.3</v>
      </c>
      <c r="L33" s="2" t="s">
        <v>166</v>
      </c>
    </row>
    <row r="34" customFormat="false" ht="15" hidden="false" customHeight="false" outlineLevel="0" collapsed="false">
      <c r="A34" s="10" t="s">
        <v>86</v>
      </c>
      <c r="B34" s="18" t="n">
        <v>0.042</v>
      </c>
      <c r="C34" s="18" t="n">
        <v>0.042</v>
      </c>
      <c r="D34" s="18" t="n">
        <v>0.042</v>
      </c>
      <c r="E34" s="18" t="n">
        <v>0.042</v>
      </c>
      <c r="F34" s="18" t="n">
        <v>0.042</v>
      </c>
      <c r="G34" s="18" t="n">
        <v>0.042</v>
      </c>
      <c r="H34" s="18" t="n">
        <v>0.042</v>
      </c>
      <c r="I34" s="18" t="n">
        <v>0.042</v>
      </c>
      <c r="J34" s="18" t="n">
        <v>0.042</v>
      </c>
      <c r="K34" s="18" t="n">
        <v>0.042</v>
      </c>
      <c r="L34" s="2" t="s">
        <v>167</v>
      </c>
    </row>
    <row r="35" customFormat="false" ht="15" hidden="false" customHeight="false" outlineLevel="0" collapsed="false">
      <c r="A35" s="10" t="s">
        <v>168</v>
      </c>
      <c r="B35" s="18" t="n">
        <v>0.25</v>
      </c>
      <c r="C35" s="18" t="n">
        <v>0.25</v>
      </c>
      <c r="D35" s="18" t="n">
        <v>0.25</v>
      </c>
      <c r="E35" s="18" t="n">
        <v>0.25</v>
      </c>
      <c r="F35" s="18" t="n">
        <v>0.25</v>
      </c>
      <c r="G35" s="18" t="n">
        <v>0.25</v>
      </c>
      <c r="H35" s="18" t="n">
        <v>0.25</v>
      </c>
      <c r="I35" s="18" t="n">
        <v>0.25</v>
      </c>
      <c r="J35" s="18" t="n">
        <v>0.25</v>
      </c>
      <c r="K35" s="18" t="n">
        <v>0.25</v>
      </c>
      <c r="L35" s="2" t="s">
        <v>169</v>
      </c>
    </row>
    <row r="36" customFormat="false" ht="15" hidden="false" customHeight="false" outlineLevel="0" collapsed="false">
      <c r="A36" s="10" t="s">
        <v>84</v>
      </c>
      <c r="B36" s="18" t="n">
        <v>0.075</v>
      </c>
      <c r="C36" s="18" t="n">
        <v>0.075</v>
      </c>
      <c r="D36" s="18" t="n">
        <v>0.07</v>
      </c>
      <c r="E36" s="18" t="n">
        <v>0.065</v>
      </c>
      <c r="F36" s="18" t="n">
        <v>0.06</v>
      </c>
      <c r="G36" s="18" t="n">
        <v>0.055</v>
      </c>
      <c r="H36" s="18" t="n">
        <v>0.055</v>
      </c>
      <c r="I36" s="18" t="n">
        <v>0.055</v>
      </c>
      <c r="J36" s="18" t="n">
        <v>0.055</v>
      </c>
      <c r="K36" s="18" t="n">
        <v>0.055</v>
      </c>
      <c r="L36" s="2" t="s">
        <v>170</v>
      </c>
    </row>
    <row r="37" customFormat="false" ht="15" hidden="false" customHeight="false" outlineLevel="0" collapsed="false">
      <c r="A37" s="10" t="s">
        <v>171</v>
      </c>
      <c r="B37" s="18" t="n">
        <v>0.1</v>
      </c>
      <c r="C37" s="18" t="n">
        <v>0.1</v>
      </c>
      <c r="D37" s="18" t="n">
        <v>0.1</v>
      </c>
      <c r="E37" s="18" t="n">
        <v>0.1</v>
      </c>
      <c r="F37" s="18" t="n">
        <v>0.1</v>
      </c>
      <c r="G37" s="18" t="n">
        <v>0.1</v>
      </c>
      <c r="H37" s="18" t="n">
        <v>0.1</v>
      </c>
      <c r="I37" s="18" t="n">
        <v>0.1</v>
      </c>
      <c r="J37" s="18" t="n">
        <v>0.1</v>
      </c>
      <c r="K37" s="18" t="n">
        <v>0.1</v>
      </c>
      <c r="L37" s="2" t="s">
        <v>172</v>
      </c>
    </row>
    <row r="38" customFormat="false" ht="15" hidden="false" customHeight="false" outlineLevel="0" collapsed="false">
      <c r="A38" s="10" t="s">
        <v>173</v>
      </c>
      <c r="B38" s="18" t="n">
        <v>0.04</v>
      </c>
      <c r="C38" s="18" t="n">
        <v>0.05</v>
      </c>
      <c r="D38" s="18" t="n">
        <v>0.05</v>
      </c>
      <c r="E38" s="18" t="n">
        <v>0.05</v>
      </c>
      <c r="F38" s="18" t="n">
        <v>0.05</v>
      </c>
      <c r="G38" s="18" t="n">
        <v>0.05</v>
      </c>
      <c r="H38" s="18" t="n">
        <v>0.05</v>
      </c>
      <c r="I38" s="18" t="n">
        <v>0.05</v>
      </c>
      <c r="J38" s="18" t="n">
        <v>0.05</v>
      </c>
      <c r="K38" s="18" t="n">
        <v>0.05</v>
      </c>
      <c r="L38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36</v>
      </c>
      <c r="B4" s="4" t="s">
        <v>177</v>
      </c>
      <c r="C4" s="4" t="s">
        <v>23</v>
      </c>
      <c r="D4" s="4" t="s">
        <v>24</v>
      </c>
      <c r="E4" s="4" t="s">
        <v>157</v>
      </c>
      <c r="F4" s="4" t="s">
        <v>158</v>
      </c>
      <c r="G4" s="4" t="s">
        <v>159</v>
      </c>
      <c r="H4" s="4" t="s">
        <v>160</v>
      </c>
      <c r="I4" s="4" t="s">
        <v>161</v>
      </c>
      <c r="J4" s="4" t="s">
        <v>162</v>
      </c>
      <c r="K4" s="4" t="s">
        <v>163</v>
      </c>
      <c r="L4" s="4" t="s">
        <v>164</v>
      </c>
    </row>
    <row r="5" customFormat="false" ht="15" hidden="false" customHeight="false" outlineLevel="0" collapsed="false">
      <c r="A5" s="10" t="s">
        <v>178</v>
      </c>
      <c r="C5" s="30" t="n">
        <v>1</v>
      </c>
      <c r="D5" s="30" t="n">
        <v>2</v>
      </c>
      <c r="E5" s="30" t="n">
        <v>3</v>
      </c>
      <c r="F5" s="30" t="n">
        <v>4</v>
      </c>
      <c r="G5" s="30" t="n">
        <v>5</v>
      </c>
      <c r="H5" s="30" t="n">
        <v>6</v>
      </c>
      <c r="I5" s="30" t="n">
        <v>7</v>
      </c>
      <c r="J5" s="30" t="n">
        <v>8</v>
      </c>
      <c r="K5" s="30" t="n">
        <v>9</v>
      </c>
      <c r="L5" s="30" t="n">
        <v>10</v>
      </c>
    </row>
    <row r="6" customFormat="false" ht="15" hidden="false" customHeight="false" outlineLevel="0" collapsed="false">
      <c r="A6" s="10" t="s">
        <v>179</v>
      </c>
      <c r="B6" s="13" t="n">
        <f aca="false">Historical!H43</f>
        <v>0.0680417029792453</v>
      </c>
      <c r="C6" s="21" t="n">
        <f aca="false">Assumptions!B32+IF(C$5&lt;=5,Assumptions!$B$27,0)</f>
        <v>0.11</v>
      </c>
      <c r="D6" s="21" t="n">
        <f aca="false">Assumptions!C32+IF(D$5&lt;=5,Assumptions!$B$27,0)</f>
        <v>0.13</v>
      </c>
      <c r="E6" s="21" t="n">
        <f aca="false">Assumptions!D32+IF(E$5&lt;=5,Assumptions!$B$27,0)</f>
        <v>0.13</v>
      </c>
      <c r="F6" s="21" t="n">
        <f aca="false">Assumptions!E32+IF(F$5&lt;=5,Assumptions!$B$27,0)</f>
        <v>0.11</v>
      </c>
      <c r="G6" s="21" t="n">
        <f aca="false">Assumptions!F32+IF(G$5&lt;=5,Assumptions!$B$27,0)</f>
        <v>0.1</v>
      </c>
      <c r="H6" s="21" t="n">
        <f aca="false">Assumptions!G32+IF(H$5&lt;=5,Assumptions!$B$27,0)</f>
        <v>0.09</v>
      </c>
      <c r="I6" s="21" t="n">
        <f aca="false">Assumptions!H32+IF(I$5&lt;=5,Assumptions!$B$27,0)</f>
        <v>0.08</v>
      </c>
      <c r="J6" s="21" t="n">
        <f aca="false">Assumptions!I32+IF(J$5&lt;=5,Assumptions!$B$27,0)</f>
        <v>0.07</v>
      </c>
      <c r="K6" s="21" t="n">
        <f aca="false">Assumptions!J32+IF(K$5&lt;=5,Assumptions!$B$27,0)</f>
        <v>0.065</v>
      </c>
      <c r="L6" s="21" t="n">
        <f aca="false">Assumptions!K32+IF(L$5&lt;=5,Assumptions!$B$27,0)</f>
        <v>0.06</v>
      </c>
    </row>
    <row r="7" customFormat="false" ht="15" hidden="false" customHeight="false" outlineLevel="0" collapsed="false">
      <c r="A7" s="10" t="s">
        <v>25</v>
      </c>
      <c r="B7" s="11" t="n">
        <f aca="false">Historical!H5</f>
        <v>33089</v>
      </c>
      <c r="C7" s="22" t="n">
        <f aca="false">B7*(1+C6)</f>
        <v>36728.79</v>
      </c>
      <c r="D7" s="22" t="n">
        <f aca="false">C7*(1+D6)</f>
        <v>41503.5327</v>
      </c>
      <c r="E7" s="22" t="n">
        <f aca="false">D7*(1+E6)</f>
        <v>46898.991951</v>
      </c>
      <c r="F7" s="22" t="n">
        <f aca="false">E7*(1+F6)</f>
        <v>52057.88106561</v>
      </c>
      <c r="G7" s="22" t="n">
        <f aca="false">F7*(1+G6)</f>
        <v>57263.669172171</v>
      </c>
      <c r="H7" s="22" t="n">
        <f aca="false">G7*(1+H6)</f>
        <v>62417.3993976664</v>
      </c>
      <c r="I7" s="22" t="n">
        <f aca="false">H7*(1+I6)</f>
        <v>67410.7913494797</v>
      </c>
      <c r="J7" s="22" t="n">
        <f aca="false">I7*(1+J6)</f>
        <v>72129.5467439433</v>
      </c>
      <c r="K7" s="22" t="n">
        <f aca="false">J7*(1+K6)</f>
        <v>76817.9672822996</v>
      </c>
      <c r="L7" s="22" t="n">
        <f aca="false">K7*(1+L6)</f>
        <v>81427.0453192376</v>
      </c>
    </row>
    <row r="8" customFormat="false" ht="15" hidden="false" customHeight="false" outlineLevel="0" collapsed="false">
      <c r="A8" s="10" t="s">
        <v>180</v>
      </c>
      <c r="B8" s="13" t="n">
        <f aca="false">Historical!H44</f>
        <v>0.295808274653208</v>
      </c>
      <c r="C8" s="21" t="n">
        <f aca="false">Assumptions!B33+Assumptions!$B$28</f>
        <v>0.295</v>
      </c>
      <c r="D8" s="21" t="n">
        <f aca="false">Assumptions!C33+Assumptions!$B$28</f>
        <v>0.3</v>
      </c>
      <c r="E8" s="21" t="n">
        <f aca="false">Assumptions!D33+Assumptions!$B$28</f>
        <v>0.3</v>
      </c>
      <c r="F8" s="21" t="n">
        <f aca="false">Assumptions!E33+Assumptions!$B$28</f>
        <v>0.3</v>
      </c>
      <c r="G8" s="21" t="n">
        <f aca="false">Assumptions!F33+Assumptions!$B$28</f>
        <v>0.3</v>
      </c>
      <c r="H8" s="21" t="n">
        <f aca="false">Assumptions!G33+Assumptions!$B$28</f>
        <v>0.3</v>
      </c>
      <c r="I8" s="21" t="n">
        <f aca="false">Assumptions!H33+Assumptions!$B$28</f>
        <v>0.3</v>
      </c>
      <c r="J8" s="21" t="n">
        <f aca="false">Assumptions!I33+Assumptions!$B$28</f>
        <v>0.3</v>
      </c>
      <c r="K8" s="21" t="n">
        <f aca="false">Assumptions!J33+Assumptions!$B$28</f>
        <v>0.3</v>
      </c>
      <c r="L8" s="21" t="n">
        <f aca="false">Assumptions!K33+Assumptions!$B$28</f>
        <v>0.3</v>
      </c>
    </row>
    <row r="9" customFormat="false" ht="15" hidden="false" customHeight="false" outlineLevel="0" collapsed="false">
      <c r="A9" s="10" t="s">
        <v>26</v>
      </c>
      <c r="B9" s="11" t="n">
        <f aca="false">Historical!H6</f>
        <v>9788</v>
      </c>
      <c r="C9" s="22" t="n">
        <f aca="false">C7*C8</f>
        <v>10834.99305</v>
      </c>
      <c r="D9" s="22" t="n">
        <f aca="false">D7*D8</f>
        <v>12451.05981</v>
      </c>
      <c r="E9" s="22" t="n">
        <f aca="false">E7*E8</f>
        <v>14069.6975853</v>
      </c>
      <c r="F9" s="22" t="n">
        <f aca="false">F7*F8</f>
        <v>15617.364319683</v>
      </c>
      <c r="G9" s="22" t="n">
        <f aca="false">G7*G8</f>
        <v>17179.1007516513</v>
      </c>
      <c r="H9" s="22" t="n">
        <f aca="false">H7*H8</f>
        <v>18725.2198192999</v>
      </c>
      <c r="I9" s="22" t="n">
        <f aca="false">I7*I8</f>
        <v>20223.2374048439</v>
      </c>
      <c r="J9" s="22" t="n">
        <f aca="false">J7*J8</f>
        <v>21638.864023183</v>
      </c>
      <c r="K9" s="22" t="n">
        <f aca="false">K7*K8</f>
        <v>23045.3901846899</v>
      </c>
      <c r="L9" s="22" t="n">
        <f aca="false">L7*L8</f>
        <v>24428.1135957713</v>
      </c>
    </row>
    <row r="10" customFormat="false" ht="15" hidden="false" customHeight="false" outlineLevel="0" collapsed="false">
      <c r="A10" s="10" t="s">
        <v>181</v>
      </c>
      <c r="B10" s="11" t="n">
        <f aca="false">Historical!H9</f>
        <v>1355</v>
      </c>
      <c r="C10" s="22" t="n">
        <f aca="false">C7*Assumptions!B34</f>
        <v>1542.60918</v>
      </c>
      <c r="D10" s="22" t="n">
        <f aca="false">D7*Assumptions!C34</f>
        <v>1743.1483734</v>
      </c>
      <c r="E10" s="22" t="n">
        <f aca="false">E7*Assumptions!D34</f>
        <v>1969.757661942</v>
      </c>
      <c r="F10" s="22" t="n">
        <f aca="false">F7*Assumptions!E34</f>
        <v>2186.43100475562</v>
      </c>
      <c r="G10" s="22" t="n">
        <f aca="false">G7*Assumptions!F34</f>
        <v>2405.07410523118</v>
      </c>
      <c r="H10" s="22" t="n">
        <f aca="false">H7*Assumptions!G34</f>
        <v>2621.53077470199</v>
      </c>
      <c r="I10" s="22" t="n">
        <f aca="false">I7*Assumptions!H34</f>
        <v>2831.25323667815</v>
      </c>
      <c r="J10" s="22" t="n">
        <f aca="false">J7*Assumptions!I34</f>
        <v>3029.44096324562</v>
      </c>
      <c r="K10" s="22" t="n">
        <f aca="false">K7*Assumptions!J34</f>
        <v>3226.35462585658</v>
      </c>
      <c r="L10" s="22" t="n">
        <f aca="false">L7*Assumptions!K34</f>
        <v>3419.93590340798</v>
      </c>
    </row>
    <row r="11" customFormat="false" ht="15" hidden="false" customHeight="false" outlineLevel="0" collapsed="false">
      <c r="A11" s="10" t="s">
        <v>182</v>
      </c>
      <c r="B11" s="22" t="n">
        <f aca="false">B9-B10</f>
        <v>8433</v>
      </c>
      <c r="C11" s="22" t="n">
        <f aca="false">C9-C10</f>
        <v>9292.38387</v>
      </c>
      <c r="D11" s="22" t="n">
        <f aca="false">D9-D10</f>
        <v>10707.9114366</v>
      </c>
      <c r="E11" s="22" t="n">
        <f aca="false">E9-E10</f>
        <v>12099.939923358</v>
      </c>
      <c r="F11" s="22" t="n">
        <f aca="false">F9-F10</f>
        <v>13430.9333149274</v>
      </c>
      <c r="G11" s="22" t="n">
        <f aca="false">G9-G10</f>
        <v>14774.0266464201</v>
      </c>
      <c r="H11" s="22" t="n">
        <f aca="false">H9-H10</f>
        <v>16103.6890445979</v>
      </c>
      <c r="I11" s="22" t="n">
        <f aca="false">I9-I10</f>
        <v>17391.9841681658</v>
      </c>
      <c r="J11" s="22" t="n">
        <f aca="false">J9-J10</f>
        <v>18609.4230599374</v>
      </c>
      <c r="K11" s="22" t="n">
        <f aca="false">K9-K10</f>
        <v>19819.0355588333</v>
      </c>
      <c r="L11" s="22" t="n">
        <f aca="false">L9-L10</f>
        <v>21008.1776923633</v>
      </c>
    </row>
    <row r="12" customFormat="false" ht="15" hidden="false" customHeight="false" outlineLevel="0" collapsed="false">
      <c r="A12" s="10" t="s">
        <v>183</v>
      </c>
      <c r="C12" s="22" t="n">
        <f aca="false">C11*Assumptions!B35</f>
        <v>2323.0959675</v>
      </c>
      <c r="D12" s="22" t="n">
        <f aca="false">D11*Assumptions!C35</f>
        <v>2676.97785915</v>
      </c>
      <c r="E12" s="22" t="n">
        <f aca="false">E11*Assumptions!D35</f>
        <v>3024.9849808395</v>
      </c>
      <c r="F12" s="22" t="n">
        <f aca="false">F11*Assumptions!E35</f>
        <v>3357.73332873184</v>
      </c>
      <c r="G12" s="22" t="n">
        <f aca="false">G11*Assumptions!F35</f>
        <v>3693.50666160503</v>
      </c>
      <c r="H12" s="22" t="n">
        <f aca="false">H11*Assumptions!G35</f>
        <v>4025.92226114948</v>
      </c>
      <c r="I12" s="22" t="n">
        <f aca="false">I11*Assumptions!H35</f>
        <v>4347.99604204144</v>
      </c>
      <c r="J12" s="22" t="n">
        <f aca="false">J11*Assumptions!I35</f>
        <v>4652.35576498434</v>
      </c>
      <c r="K12" s="22" t="n">
        <f aca="false">K11*Assumptions!J35</f>
        <v>4954.75888970832</v>
      </c>
      <c r="L12" s="22" t="n">
        <f aca="false">L11*Assumptions!K35</f>
        <v>5252.04442309082</v>
      </c>
    </row>
    <row r="13" customFormat="false" ht="15" hidden="false" customHeight="false" outlineLevel="0" collapsed="false">
      <c r="A13" s="10" t="s">
        <v>184</v>
      </c>
      <c r="C13" s="22" t="n">
        <f aca="false">C11-C12</f>
        <v>6969.2879025</v>
      </c>
      <c r="D13" s="22" t="n">
        <f aca="false">D11-D12</f>
        <v>8030.93357745</v>
      </c>
      <c r="E13" s="22" t="n">
        <f aca="false">E11-E12</f>
        <v>9074.9549425185</v>
      </c>
      <c r="F13" s="22" t="n">
        <f aca="false">F11-F12</f>
        <v>10073.1999861955</v>
      </c>
      <c r="G13" s="22" t="n">
        <f aca="false">G11-G12</f>
        <v>11080.5199848151</v>
      </c>
      <c r="H13" s="22" t="n">
        <f aca="false">H11-H12</f>
        <v>12077.7667834485</v>
      </c>
      <c r="I13" s="22" t="n">
        <f aca="false">I11-I12</f>
        <v>13043.9881261243</v>
      </c>
      <c r="J13" s="22" t="n">
        <f aca="false">J11-J12</f>
        <v>13957.067294953</v>
      </c>
      <c r="K13" s="22" t="n">
        <f aca="false">K11-K12</f>
        <v>14864.276669125</v>
      </c>
      <c r="L13" s="22" t="n">
        <f aca="false">L11-L12</f>
        <v>15756.1332692725</v>
      </c>
    </row>
    <row r="14" customFormat="false" ht="15" hidden="false" customHeight="false" outlineLevel="0" collapsed="false">
      <c r="A14" s="10" t="s">
        <v>185</v>
      </c>
      <c r="B14" s="11" t="n">
        <f aca="false">Historical!H53</f>
        <v>2468</v>
      </c>
      <c r="C14" s="22" t="n">
        <f aca="false">C7*Assumptions!B36</f>
        <v>2754.65925</v>
      </c>
      <c r="D14" s="22" t="n">
        <f aca="false">D7*Assumptions!C36</f>
        <v>3112.7649525</v>
      </c>
      <c r="E14" s="22" t="n">
        <f aca="false">E7*Assumptions!D36</f>
        <v>3282.92943657</v>
      </c>
      <c r="F14" s="22" t="n">
        <f aca="false">F7*Assumptions!E36</f>
        <v>3383.76226926465</v>
      </c>
      <c r="G14" s="22" t="n">
        <f aca="false">G7*Assumptions!F36</f>
        <v>3435.82015033026</v>
      </c>
      <c r="H14" s="22" t="n">
        <f aca="false">H7*Assumptions!G36</f>
        <v>3432.95696687165</v>
      </c>
      <c r="I14" s="22" t="n">
        <f aca="false">I7*Assumptions!H36</f>
        <v>3707.59352422138</v>
      </c>
      <c r="J14" s="22" t="n">
        <f aca="false">J7*Assumptions!I36</f>
        <v>3967.12507091688</v>
      </c>
      <c r="K14" s="22" t="n">
        <f aca="false">K7*Assumptions!J36</f>
        <v>4224.98820052648</v>
      </c>
      <c r="L14" s="22" t="n">
        <f aca="false">L7*Assumptions!K36</f>
        <v>4478.48749255807</v>
      </c>
    </row>
    <row r="15" customFormat="false" ht="15" hidden="false" customHeight="false" outlineLevel="0" collapsed="false">
      <c r="A15" s="10" t="s">
        <v>186</v>
      </c>
      <c r="C15" s="22" t="n">
        <f aca="false">(C7-B7)*Assumptions!B37</f>
        <v>363.979</v>
      </c>
      <c r="D15" s="22" t="n">
        <f aca="false">(D7-C7)*Assumptions!C37</f>
        <v>477.47427</v>
      </c>
      <c r="E15" s="22" t="n">
        <f aca="false">(E7-D7)*Assumptions!D37</f>
        <v>539.545925099999</v>
      </c>
      <c r="F15" s="22" t="n">
        <f aca="false">(F7-E7)*Assumptions!E37</f>
        <v>515.888911461001</v>
      </c>
      <c r="G15" s="22" t="n">
        <f aca="false">(G7-F7)*Assumptions!F37</f>
        <v>520.578810656101</v>
      </c>
      <c r="H15" s="22" t="n">
        <f aca="false">(H7-G7)*Assumptions!G37</f>
        <v>515.37302254954</v>
      </c>
      <c r="I15" s="22" t="n">
        <f aca="false">(I7-H7)*Assumptions!H37</f>
        <v>499.339195181331</v>
      </c>
      <c r="J15" s="22" t="n">
        <f aca="false">(J7-I7)*Assumptions!I37</f>
        <v>471.875539446359</v>
      </c>
      <c r="K15" s="22" t="n">
        <f aca="false">(K7-J7)*Assumptions!J37</f>
        <v>468.842053835631</v>
      </c>
      <c r="L15" s="22" t="n">
        <f aca="false">(L7-K7)*Assumptions!K37</f>
        <v>460.907803693798</v>
      </c>
    </row>
    <row r="16" customFormat="false" ht="15" hidden="false" customHeight="false" outlineLevel="0" collapsed="false">
      <c r="A16" s="5" t="s">
        <v>187</v>
      </c>
      <c r="B16" s="31"/>
      <c r="C16" s="32" t="n">
        <f aca="false">C13+C10-C14-C15</f>
        <v>5393.2588325</v>
      </c>
      <c r="D16" s="32" t="n">
        <f aca="false">D13+D10-D14-D15</f>
        <v>6183.84272835</v>
      </c>
      <c r="E16" s="32" t="n">
        <f aca="false">E13+E10-E14-E15</f>
        <v>7222.2372427905</v>
      </c>
      <c r="F16" s="32" t="n">
        <f aca="false">F13+F10-F14-F15</f>
        <v>8359.9798102255</v>
      </c>
      <c r="G16" s="32" t="n">
        <f aca="false">G13+G10-G14-G15</f>
        <v>9529.19512905991</v>
      </c>
      <c r="H16" s="32" t="n">
        <f aca="false">H13+H10-H14-H15</f>
        <v>10750.9675687292</v>
      </c>
      <c r="I16" s="32" t="n">
        <f aca="false">I13+I10-I14-I15</f>
        <v>11668.3086433998</v>
      </c>
      <c r="J16" s="32" t="n">
        <f aca="false">J13+J10-J14-J15</f>
        <v>12547.5076478354</v>
      </c>
      <c r="K16" s="32" t="n">
        <f aca="false">K13+K10-K14-K15</f>
        <v>13396.8010406194</v>
      </c>
      <c r="L16" s="32" t="n">
        <f aca="false">L13+L10-L14-L15</f>
        <v>14236.6738764286</v>
      </c>
    </row>
    <row r="17" customFormat="false" ht="15" hidden="false" customHeight="false" outlineLevel="0" collapsed="false">
      <c r="A17" s="10" t="s">
        <v>188</v>
      </c>
      <c r="C17" s="21"/>
      <c r="D17" s="21" t="n">
        <f aca="false">D16/C16-1</f>
        <v>0.146587419666549</v>
      </c>
      <c r="E17" s="21" t="n">
        <f aca="false">E16/D16-1</f>
        <v>0.167920589196092</v>
      </c>
      <c r="F17" s="21" t="n">
        <f aca="false">F16/E16-1</f>
        <v>0.15753325862713</v>
      </c>
      <c r="G17" s="21" t="n">
        <f aca="false">G16/F16-1</f>
        <v>0.139858629491459</v>
      </c>
      <c r="H17" s="21" t="n">
        <f aca="false">H16/G16-1</f>
        <v>0.128213602840754</v>
      </c>
      <c r="I17" s="21" t="n">
        <f aca="false">I16/H16-1</f>
        <v>0.0853263735385761</v>
      </c>
      <c r="J17" s="21" t="n">
        <f aca="false">J16/I16-1</f>
        <v>0.0753493099390181</v>
      </c>
      <c r="K17" s="21" t="n">
        <f aca="false">K16/J16-1</f>
        <v>0.0676862223654873</v>
      </c>
      <c r="L17" s="21" t="n">
        <f aca="false">L16/K16-1</f>
        <v>0.0626920436649485</v>
      </c>
    </row>
    <row r="19" customFormat="false" ht="15" hidden="false" customHeight="false" outlineLevel="0" collapsed="false">
      <c r="A19" s="20" t="s">
        <v>189</v>
      </c>
    </row>
    <row r="20" customFormat="false" ht="15" hidden="false" customHeight="false" outlineLevel="0" collapsed="false">
      <c r="A20" s="10" t="s">
        <v>190</v>
      </c>
      <c r="B20" s="11" t="n">
        <f aca="false">Historical!H7</f>
        <v>3743</v>
      </c>
      <c r="C20" s="22" t="n">
        <f aca="false">B20*(1+Assumptions!B38)</f>
        <v>3892.72</v>
      </c>
      <c r="D20" s="22" t="n">
        <f aca="false">C20*(1+Assumptions!C38)</f>
        <v>4087.356</v>
      </c>
      <c r="E20" s="22" t="n">
        <f aca="false">D20*(1+Assumptions!D38)</f>
        <v>4291.7238</v>
      </c>
      <c r="F20" s="22" t="n">
        <f aca="false">E20*(1+Assumptions!E38)</f>
        <v>4506.30999</v>
      </c>
      <c r="G20" s="22" t="n">
        <f aca="false">F20*(1+Assumptions!F38)</f>
        <v>4731.6254895</v>
      </c>
      <c r="H20" s="22" t="n">
        <f aca="false">G20*(1+Assumptions!G38)</f>
        <v>4968.206763975</v>
      </c>
      <c r="I20" s="22" t="n">
        <f aca="false">H20*(1+Assumptions!H38)</f>
        <v>5216.61710217375</v>
      </c>
      <c r="J20" s="22" t="n">
        <f aca="false">I20*(1+Assumptions!I38)</f>
        <v>5477.44795728244</v>
      </c>
      <c r="K20" s="22" t="n">
        <f aca="false">J20*(1+Assumptions!J38)</f>
        <v>5751.32035514656</v>
      </c>
      <c r="L20" s="22" t="n">
        <f aca="false">K20*(1+Assumptions!K38)</f>
        <v>6038.88637290389</v>
      </c>
    </row>
    <row r="21" customFormat="false" ht="15" hidden="false" customHeight="false" outlineLevel="0" collapsed="false">
      <c r="A21" s="10" t="s">
        <v>46</v>
      </c>
      <c r="B21" s="11" t="n">
        <f aca="false">Historical!H10</f>
        <v>12152</v>
      </c>
      <c r="C21" s="22" t="n">
        <f aca="false">C11+C20</f>
        <v>13185.10387</v>
      </c>
      <c r="D21" s="22" t="n">
        <f aca="false">D11+D20</f>
        <v>14795.2674366</v>
      </c>
      <c r="E21" s="22" t="n">
        <f aca="false">E11+E20</f>
        <v>16391.663723358</v>
      </c>
      <c r="F21" s="22" t="n">
        <f aca="false">F11+F20</f>
        <v>17937.2433049274</v>
      </c>
      <c r="G21" s="22" t="n">
        <f aca="false">G11+G20</f>
        <v>19505.6521359201</v>
      </c>
      <c r="H21" s="22" t="n">
        <f aca="false">H11+H20</f>
        <v>21071.8958085729</v>
      </c>
      <c r="I21" s="22" t="n">
        <f aca="false">I11+I20</f>
        <v>22608.6012703395</v>
      </c>
      <c r="J21" s="22" t="n">
        <f aca="false">J11+J20</f>
        <v>24086.8710172198</v>
      </c>
      <c r="K21" s="22" t="n">
        <f aca="false">K11+K20</f>
        <v>25570.3559139799</v>
      </c>
      <c r="L21" s="22" t="n">
        <f aca="false">L11+L20</f>
        <v>27047.0640652672</v>
      </c>
    </row>
    <row r="22" customFormat="false" ht="15" hidden="false" customHeight="false" outlineLevel="0" collapsed="false">
      <c r="A22" s="10" t="s">
        <v>27</v>
      </c>
      <c r="B22" s="11" t="n">
        <f aca="false">Historical!H12</f>
        <v>9116</v>
      </c>
      <c r="C22" s="22" t="n">
        <f aca="false">C21*(1-Assumptions!B35)</f>
        <v>9888.8279025</v>
      </c>
      <c r="D22" s="22" t="n">
        <f aca="false">D21*(1-Assumptions!C35)</f>
        <v>11096.45057745</v>
      </c>
      <c r="E22" s="22" t="n">
        <f aca="false">E21*(1-Assumptions!D35)</f>
        <v>12293.7477925185</v>
      </c>
      <c r="F22" s="22" t="n">
        <f aca="false">F21*(1-Assumptions!E35)</f>
        <v>13452.9324786955</v>
      </c>
      <c r="G22" s="22" t="n">
        <f aca="false">G21*(1-Assumptions!F35)</f>
        <v>14629.2391019401</v>
      </c>
      <c r="H22" s="22" t="n">
        <f aca="false">H21*(1-Assumptions!G35)</f>
        <v>15803.9218564297</v>
      </c>
      <c r="I22" s="22" t="n">
        <f aca="false">I21*(1-Assumptions!H35)</f>
        <v>16956.4509527546</v>
      </c>
      <c r="J22" s="22" t="n">
        <f aca="false">J21*(1-Assumptions!I35)</f>
        <v>18065.1532629149</v>
      </c>
      <c r="K22" s="22" t="n">
        <f aca="false">K21*(1-Assumptions!J35)</f>
        <v>19177.7669354849</v>
      </c>
      <c r="L22" s="22" t="n">
        <f aca="false">L21*(1-Assumptions!K35)</f>
        <v>20285.2980489504</v>
      </c>
    </row>
    <row r="23" customFormat="false" ht="15" hidden="false" customHeight="false" outlineLevel="0" collapsed="false">
      <c r="A23" s="5" t="s">
        <v>29</v>
      </c>
      <c r="B23" s="7" t="n">
        <f aca="false">Historical!H13</f>
        <v>136.3</v>
      </c>
      <c r="C23" s="33" t="n">
        <f aca="false">C22/Assumptions!$B$5</f>
        <v>147.859268877093</v>
      </c>
      <c r="D23" s="33" t="n">
        <f aca="false">D22/Assumptions!$B$5</f>
        <v>165.915828012111</v>
      </c>
      <c r="E23" s="33" t="n">
        <f aca="false">E22/Assumptions!$B$5</f>
        <v>183.817999290049</v>
      </c>
      <c r="F23" s="33" t="n">
        <f aca="false">F22/Assumptions!$B$5</f>
        <v>201.150306200591</v>
      </c>
      <c r="G23" s="33" t="n">
        <f aca="false">G22/Assumptions!$B$5</f>
        <v>218.738622935707</v>
      </c>
      <c r="H23" s="33" t="n">
        <f aca="false">H22/Assumptions!$B$5</f>
        <v>236.302659336568</v>
      </c>
      <c r="I23" s="33" t="n">
        <f aca="false">I22/Assumptions!$B$5</f>
        <v>253.535450848604</v>
      </c>
      <c r="J23" s="33" t="n">
        <f aca="false">J22/Assumptions!$B$5</f>
        <v>270.112937543583</v>
      </c>
      <c r="K23" s="33" t="n">
        <f aca="false">K22/Assumptions!$B$5</f>
        <v>286.748907528183</v>
      </c>
      <c r="L23" s="33" t="n">
        <f aca="false">L22/Assumptions!$B$5</f>
        <v>303.308882310861</v>
      </c>
    </row>
    <row r="24" customFormat="false" ht="15" hidden="false" customHeight="false" outlineLevel="0" collapsed="false">
      <c r="A24" s="10" t="s">
        <v>191</v>
      </c>
      <c r="B24" s="13" t="n">
        <f aca="false">Historical!H46</f>
        <v>0.0899091343854614</v>
      </c>
      <c r="C24" s="21" t="n">
        <f aca="false">C23/B23-1</f>
        <v>0.0848075486213742</v>
      </c>
      <c r="D24" s="21" t="n">
        <f aca="false">D23/C23-1</f>
        <v>0.122119900038375</v>
      </c>
      <c r="E24" s="21" t="n">
        <f aca="false">E23/D23-1</f>
        <v>0.107899116632991</v>
      </c>
      <c r="F24" s="21" t="n">
        <f aca="false">F23/E23-1</f>
        <v>0.0942905862183434</v>
      </c>
      <c r="G24" s="21" t="n">
        <f aca="false">G23/F23-1</f>
        <v>0.0874386774115896</v>
      </c>
      <c r="H24" s="21" t="n">
        <f aca="false">H23/G23-1</f>
        <v>0.080296914029782</v>
      </c>
      <c r="I24" s="21" t="n">
        <f aca="false">I23/H23-1</f>
        <v>0.0729267777198004</v>
      </c>
      <c r="J24" s="21" t="n">
        <f aca="false">J23/I23-1</f>
        <v>0.0653852809912505</v>
      </c>
      <c r="K24" s="21" t="n">
        <f aca="false">K23/J23-1</f>
        <v>0.0615889417807527</v>
      </c>
      <c r="L24" s="21" t="n">
        <f aca="false">L23/K23-1</f>
        <v>0.0577507859591417</v>
      </c>
    </row>
    <row r="25" customFormat="false" ht="15" hidden="false" customHeight="false" outlineLevel="0" collapsed="false">
      <c r="A25" s="10" t="s">
        <v>192</v>
      </c>
      <c r="B25" s="16" t="n">
        <f aca="false">Assumptions!B10</f>
        <v>45</v>
      </c>
      <c r="C25" s="34" t="n">
        <f aca="false">C23*Assumptions!$B$29</f>
        <v>48.7935587294408</v>
      </c>
      <c r="D25" s="34" t="n">
        <f aca="false">D23*Assumptions!$B$29</f>
        <v>54.7522232439967</v>
      </c>
      <c r="E25" s="34" t="n">
        <f aca="false">E23*Assumptions!$B$29</f>
        <v>60.6599397657163</v>
      </c>
      <c r="F25" s="34" t="n">
        <f aca="false">F23*Assumptions!$B$29</f>
        <v>66.3796010461951</v>
      </c>
      <c r="G25" s="34" t="n">
        <f aca="false">G23*Assumptions!$B$29</f>
        <v>72.1837455687834</v>
      </c>
      <c r="H25" s="34" t="n">
        <f aca="false">H23*Assumptions!$B$29</f>
        <v>77.9798775810676</v>
      </c>
      <c r="I25" s="34" t="n">
        <f aca="false">I23*Assumptions!$B$29</f>
        <v>83.6666987800394</v>
      </c>
      <c r="J25" s="34" t="n">
        <f aca="false">J23*Assumptions!$B$29</f>
        <v>89.1372693893825</v>
      </c>
      <c r="K25" s="34" t="n">
        <f aca="false">K23*Assumptions!$B$29</f>
        <v>94.6271394843005</v>
      </c>
      <c r="L25" s="34" t="n">
        <f aca="false">L23*Assumptions!$B$29</f>
        <v>100.091931162584</v>
      </c>
    </row>
    <row r="26" customFormat="false" ht="15" hidden="false" customHeight="false" outlineLevel="0" collapsed="false">
      <c r="A26" s="10" t="s">
        <v>193</v>
      </c>
      <c r="B26" s="15" t="n">
        <f aca="false">Assumptions!$B$4/B23</f>
        <v>34.1570066030814</v>
      </c>
      <c r="C26" s="25" t="n">
        <f aca="false">Assumptions!$B$4/C23</f>
        <v>31.486697015051</v>
      </c>
      <c r="D26" s="25" t="n">
        <f aca="false">Assumptions!$B$4/D23</f>
        <v>28.060011246547</v>
      </c>
      <c r="E26" s="25" t="n">
        <f aca="false">Assumptions!$B$4/E23</f>
        <v>25.3272259407734</v>
      </c>
      <c r="F26" s="25" t="n">
        <f aca="false">Assumptions!$B$4/F23</f>
        <v>23.1448814965131</v>
      </c>
      <c r="G26" s="25" t="n">
        <f aca="false">Assumptions!$B$4/G23</f>
        <v>21.2838498181841</v>
      </c>
      <c r="H26" s="25" t="n">
        <f aca="false">Assumptions!$B$4/H23</f>
        <v>19.7018519092034</v>
      </c>
      <c r="I26" s="25" t="n">
        <f aca="false">Assumptions!$B$4/I23</f>
        <v>18.3627180515282</v>
      </c>
      <c r="J26" s="25" t="n">
        <f aca="false">Assumptions!$B$4/J23</f>
        <v>17.2357534679316</v>
      </c>
      <c r="K26" s="25" t="n">
        <f aca="false">Assumptions!$B$4/K23</f>
        <v>16.2358072786813</v>
      </c>
      <c r="L26" s="25" t="n">
        <f aca="false">Assumptions!$B$4/L23</f>
        <v>15.3493691464943</v>
      </c>
    </row>
    <row r="27" customFormat="false" ht="15" hidden="false" customHeight="false" outlineLevel="0" collapsed="false">
      <c r="A27" s="10" t="s">
        <v>30</v>
      </c>
      <c r="B27" s="21" t="n">
        <f aca="false">B20/B21</f>
        <v>0.308015141540487</v>
      </c>
      <c r="C27" s="21" t="n">
        <f aca="false">C20/C21</f>
        <v>0.295236202792235</v>
      </c>
      <c r="D27" s="21" t="n">
        <f aca="false">D20/D21</f>
        <v>0.27626104208761</v>
      </c>
      <c r="E27" s="21" t="n">
        <f aca="false">E20/E21</f>
        <v>0.261823563027609</v>
      </c>
      <c r="F27" s="21" t="n">
        <f aca="false">F20/F21</f>
        <v>0.251226451768211</v>
      </c>
      <c r="G27" s="21" t="n">
        <f aca="false">G20/G21</f>
        <v>0.242577149255451</v>
      </c>
      <c r="H27" s="21" t="n">
        <f aca="false">H20/H21</f>
        <v>0.235774076006665</v>
      </c>
      <c r="I27" s="21" t="n">
        <f aca="false">I20/I21</f>
        <v>0.230735950437478</v>
      </c>
      <c r="J27" s="21" t="n">
        <f aca="false">J20/J21</f>
        <v>0.227403881283152</v>
      </c>
      <c r="K27" s="21" t="n">
        <f aca="false">K20/K21</f>
        <v>0.224921404085822</v>
      </c>
      <c r="L27" s="21" t="n">
        <f aca="false">L20/L21</f>
        <v>0.223273267602409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3"/>
    <col collapsed="false" customWidth="true" hidden="false" outlineLevel="0" max="12" min="3" style="0" width="11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4" customFormat="false" ht="15" hidden="false" customHeight="false" outlineLevel="0" collapsed="false">
      <c r="A4" s="3"/>
      <c r="B4" s="4"/>
      <c r="C4" s="4" t="s">
        <v>23</v>
      </c>
      <c r="D4" s="4" t="s">
        <v>24</v>
      </c>
      <c r="E4" s="4" t="s">
        <v>157</v>
      </c>
      <c r="F4" s="4" t="s">
        <v>158</v>
      </c>
      <c r="G4" s="4" t="s">
        <v>159</v>
      </c>
      <c r="H4" s="4" t="s">
        <v>160</v>
      </c>
      <c r="I4" s="4" t="s">
        <v>161</v>
      </c>
      <c r="J4" s="4" t="s">
        <v>162</v>
      </c>
      <c r="K4" s="4" t="s">
        <v>163</v>
      </c>
      <c r="L4" s="4" t="s">
        <v>164</v>
      </c>
    </row>
    <row r="5" customFormat="false" ht="15" hidden="false" customHeight="false" outlineLevel="0" collapsed="false">
      <c r="A5" s="10" t="s">
        <v>196</v>
      </c>
      <c r="C5" s="35" t="n">
        <f aca="false">Forecast!C5-0.5</f>
        <v>0.5</v>
      </c>
      <c r="D5" s="35" t="n">
        <f aca="false">Forecast!D5-0.5</f>
        <v>1.5</v>
      </c>
      <c r="E5" s="35" t="n">
        <f aca="false">Forecast!E5-0.5</f>
        <v>2.5</v>
      </c>
      <c r="F5" s="35" t="n">
        <f aca="false">Forecast!F5-0.5</f>
        <v>3.5</v>
      </c>
      <c r="G5" s="35" t="n">
        <f aca="false">Forecast!G5-0.5</f>
        <v>4.5</v>
      </c>
      <c r="H5" s="35" t="n">
        <f aca="false">Forecast!H5-0.5</f>
        <v>5.5</v>
      </c>
      <c r="I5" s="35" t="n">
        <f aca="false">Forecast!I5-0.5</f>
        <v>6.5</v>
      </c>
      <c r="J5" s="35" t="n">
        <f aca="false">Forecast!J5-0.5</f>
        <v>7.5</v>
      </c>
      <c r="K5" s="35" t="n">
        <f aca="false">Forecast!K5-0.5</f>
        <v>8.5</v>
      </c>
      <c r="L5" s="35" t="n">
        <f aca="false">Forecast!L5-0.5</f>
        <v>9.5</v>
      </c>
    </row>
    <row r="6" customFormat="false" ht="15" hidden="false" customHeight="false" outlineLevel="0" collapsed="false">
      <c r="A6" s="10" t="s">
        <v>197</v>
      </c>
      <c r="C6" s="36" t="n">
        <f aca="false">1/(1+$B$11)^C5</f>
        <v>0.945967539680804</v>
      </c>
      <c r="D6" s="36" t="n">
        <f aca="false">1/(1+$B$11)^D5</f>
        <v>0.846503391213248</v>
      </c>
      <c r="E6" s="36" t="n">
        <f aca="false">1/(1+$B$11)^E5</f>
        <v>0.757497441801564</v>
      </c>
      <c r="F6" s="36" t="n">
        <f aca="false">1/(1+$B$11)^F5</f>
        <v>0.677850059777686</v>
      </c>
      <c r="G6" s="36" t="n">
        <f aca="false">1/(1+$B$11)^G5</f>
        <v>0.60657723470039</v>
      </c>
      <c r="H6" s="36" t="n">
        <f aca="false">1/(1+$B$11)^H5</f>
        <v>0.542798420313548</v>
      </c>
      <c r="I6" s="36" t="n">
        <f aca="false">1/(1+$B$11)^I5</f>
        <v>0.485725655761564</v>
      </c>
      <c r="J6" s="36" t="n">
        <f aca="false">1/(1+$B$11)^J5</f>
        <v>0.434653830659118</v>
      </c>
      <c r="K6" s="36" t="n">
        <f aca="false">1/(1+$B$11)^K5</f>
        <v>0.388951973744177</v>
      </c>
      <c r="L6" s="36" t="n">
        <f aca="false">1/(1+$B$11)^L5</f>
        <v>0.348055457489197</v>
      </c>
    </row>
    <row r="7" customFormat="false" ht="15" hidden="false" customHeight="false" outlineLevel="0" collapsed="false">
      <c r="A7" s="10" t="s">
        <v>198</v>
      </c>
      <c r="C7" s="11" t="n">
        <f aca="false">Forecast!C16</f>
        <v>5393.2588325</v>
      </c>
      <c r="D7" s="11" t="n">
        <f aca="false">Forecast!D16</f>
        <v>6183.84272835</v>
      </c>
      <c r="E7" s="11" t="n">
        <f aca="false">Forecast!E16</f>
        <v>7222.2372427905</v>
      </c>
      <c r="F7" s="11" t="n">
        <f aca="false">Forecast!F16</f>
        <v>8359.9798102255</v>
      </c>
      <c r="G7" s="11" t="n">
        <f aca="false">Forecast!G16</f>
        <v>9529.19512905991</v>
      </c>
      <c r="H7" s="11" t="n">
        <f aca="false">Forecast!H16</f>
        <v>10750.9675687292</v>
      </c>
      <c r="I7" s="11" t="n">
        <f aca="false">Forecast!I16</f>
        <v>11668.3086433998</v>
      </c>
      <c r="J7" s="11" t="n">
        <f aca="false">Forecast!J16</f>
        <v>12547.5076478354</v>
      </c>
      <c r="K7" s="11" t="n">
        <f aca="false">Forecast!K16</f>
        <v>13396.8010406194</v>
      </c>
      <c r="L7" s="11" t="n">
        <f aca="false">Forecast!L16</f>
        <v>14236.6738764286</v>
      </c>
    </row>
    <row r="8" customFormat="false" ht="15" hidden="false" customHeight="false" outlineLevel="0" collapsed="false">
      <c r="A8" s="10" t="s">
        <v>199</v>
      </c>
      <c r="C8" s="22" t="n">
        <f aca="false">C7*C6</f>
        <v>5101.84778864179</v>
      </c>
      <c r="D8" s="22" t="n">
        <f aca="false">D7*D6</f>
        <v>5234.64384027766</v>
      </c>
      <c r="E8" s="22" t="n">
        <f aca="false">E7*E6</f>
        <v>5470.82623549778</v>
      </c>
      <c r="F8" s="22" t="n">
        <f aca="false">F7*F6</f>
        <v>5666.8128141016</v>
      </c>
      <c r="G8" s="22" t="n">
        <f aca="false">G7*G6</f>
        <v>5780.19283030559</v>
      </c>
      <c r="H8" s="22" t="n">
        <f aca="false">H7*H6</f>
        <v>5835.60821314842</v>
      </c>
      <c r="I8" s="22" t="n">
        <f aca="false">I7*I6</f>
        <v>5667.59686744368</v>
      </c>
      <c r="J8" s="22" t="n">
        <f aca="false">J7*J6</f>
        <v>5453.82226435624</v>
      </c>
      <c r="K8" s="22" t="n">
        <f aca="false">K7*K6</f>
        <v>5210.71220660698</v>
      </c>
      <c r="L8" s="22" t="n">
        <f aca="false">L7*L6</f>
        <v>4955.15203918485</v>
      </c>
    </row>
    <row r="10" customFormat="false" ht="15" hidden="false" customHeight="false" outlineLevel="0" collapsed="false">
      <c r="A10" s="20" t="s">
        <v>200</v>
      </c>
    </row>
    <row r="11" customFormat="false" ht="15" hidden="false" customHeight="false" outlineLevel="0" collapsed="false">
      <c r="A11" s="10" t="s">
        <v>146</v>
      </c>
      <c r="B11" s="13" t="n">
        <f aca="false">Assumptions!B22</f>
        <v>0.1175</v>
      </c>
    </row>
    <row r="12" customFormat="false" ht="15" hidden="false" customHeight="false" outlineLevel="0" collapsed="false">
      <c r="A12" s="10" t="s">
        <v>147</v>
      </c>
      <c r="B12" s="13" t="n">
        <f aca="false">Assumptions!B23</f>
        <v>0.05</v>
      </c>
    </row>
    <row r="13" customFormat="false" ht="15" hidden="false" customHeight="false" outlineLevel="0" collapsed="false">
      <c r="A13" s="10" t="s">
        <v>201</v>
      </c>
      <c r="B13" s="22" t="n">
        <f aca="false">SUM(C8:L8)</f>
        <v>54377.2150995646</v>
      </c>
    </row>
    <row r="14" customFormat="false" ht="15" hidden="false" customHeight="false" outlineLevel="0" collapsed="false">
      <c r="A14" s="10" t="s">
        <v>202</v>
      </c>
      <c r="B14" s="22" t="n">
        <f aca="false">L7*(1+B12)/(B11-B12)</f>
        <v>221459.371411111</v>
      </c>
    </row>
    <row r="15" customFormat="false" ht="15" hidden="false" customHeight="false" outlineLevel="0" collapsed="false">
      <c r="A15" s="10" t="s">
        <v>203</v>
      </c>
      <c r="B15" s="22" t="n">
        <f aca="false">B14/(1+B11)^L5</f>
        <v>77080.1428317643</v>
      </c>
    </row>
    <row r="16" customFormat="false" ht="15" hidden="false" customHeight="false" outlineLevel="0" collapsed="false">
      <c r="A16" s="5" t="s">
        <v>204</v>
      </c>
      <c r="B16" s="37" t="n">
        <f aca="false">B13+B15</f>
        <v>131457.357931329</v>
      </c>
    </row>
    <row r="17" customFormat="false" ht="15" hidden="false" customHeight="false" outlineLevel="0" collapsed="false">
      <c r="A17" s="10" t="s">
        <v>205</v>
      </c>
      <c r="B17" s="21" t="n">
        <f aca="false">B15/B16</f>
        <v>0.586350920516976</v>
      </c>
    </row>
    <row r="18" customFormat="false" ht="15" hidden="false" customHeight="false" outlineLevel="0" collapsed="false">
      <c r="A18" s="10" t="s">
        <v>206</v>
      </c>
      <c r="B18" s="13" t="n">
        <f aca="false">Assumptions!B24</f>
        <v>0.5</v>
      </c>
    </row>
    <row r="19" customFormat="false" ht="15" hidden="false" customHeight="false" outlineLevel="0" collapsed="false">
      <c r="A19" s="10" t="s">
        <v>207</v>
      </c>
      <c r="B19" s="22" t="n">
        <f aca="false">B18*(Assumptions!B7+Assumptions!B8)</f>
        <v>22169.5</v>
      </c>
    </row>
    <row r="20" customFormat="false" ht="15" hidden="false" customHeight="false" outlineLevel="0" collapsed="false">
      <c r="A20" s="10" t="s">
        <v>208</v>
      </c>
      <c r="B20" s="11" t="n">
        <f aca="false">Assumptions!B9</f>
        <v>66</v>
      </c>
    </row>
    <row r="21" customFormat="false" ht="15" hidden="false" customHeight="false" outlineLevel="0" collapsed="false">
      <c r="A21" s="10" t="s">
        <v>209</v>
      </c>
      <c r="B21" s="22" t="n">
        <f aca="false">B16+B19-B20</f>
        <v>153560.857931329</v>
      </c>
    </row>
    <row r="22" customFormat="false" ht="15" hidden="false" customHeight="false" outlineLevel="0" collapsed="false">
      <c r="A22" s="10" t="s">
        <v>210</v>
      </c>
      <c r="B22" s="22" t="n">
        <f aca="false">B21/Assumptions!B5</f>
        <v>2296.06545949954</v>
      </c>
    </row>
    <row r="23" customFormat="false" ht="15" hidden="false" customHeight="false" outlineLevel="0" collapsed="false">
      <c r="A23" s="10" t="s">
        <v>211</v>
      </c>
      <c r="B23" s="26" t="n">
        <f aca="false">(1+B11)^Assumptions!B13</f>
        <v>1.06050252918025</v>
      </c>
    </row>
    <row r="24" customFormat="false" ht="15" hidden="false" customHeight="false" outlineLevel="0" collapsed="false">
      <c r="A24" s="5" t="s">
        <v>212</v>
      </c>
      <c r="B24" s="38" t="n">
        <f aca="false">B22*B23</f>
        <v>2434.98322696268</v>
      </c>
    </row>
    <row r="25" customFormat="false" ht="15" hidden="false" customHeight="false" outlineLevel="0" collapsed="false">
      <c r="A25" s="10" t="s">
        <v>213</v>
      </c>
      <c r="B25" s="21" t="n">
        <f aca="false">B24/Assumptions!B4-1</f>
        <v>-0.476977569601625</v>
      </c>
    </row>
    <row r="26" customFormat="false" ht="15" hidden="false" customHeight="false" outlineLevel="0" collapsed="false">
      <c r="A26" s="10" t="s">
        <v>214</v>
      </c>
      <c r="B26" s="25" t="n">
        <f aca="false">B16/Forecast!C9</f>
        <v>12.1326665669923</v>
      </c>
    </row>
    <row r="27" customFormat="false" ht="15" hidden="false" customHeight="false" outlineLevel="0" collapsed="false">
      <c r="A27" s="10" t="s">
        <v>215</v>
      </c>
      <c r="B27" s="22" t="n">
        <f aca="false">Assumptions!B6-Assumptions!B7-Assumptions!B8+Assumptions!B9</f>
        <v>267093.528</v>
      </c>
    </row>
    <row r="28" customFormat="false" ht="15" hidden="false" customHeight="false" outlineLevel="0" collapsed="false">
      <c r="A28" s="10" t="s">
        <v>216</v>
      </c>
      <c r="B28" s="25" t="n">
        <f aca="false">B27/Forecast!C9</f>
        <v>24.6510105514096</v>
      </c>
    </row>
    <row r="29" customFormat="false" ht="15" hidden="false" customHeight="false" outlineLevel="0" collapsed="false">
      <c r="A29" s="10" t="s">
        <v>217</v>
      </c>
      <c r="B29" s="25" t="n">
        <f aca="false">B27/Forecast!B9</f>
        <v>27.2878553330609</v>
      </c>
    </row>
    <row r="30" customFormat="false" ht="15" hidden="false" customHeight="false" outlineLevel="0" collapsed="false">
      <c r="A30" s="10" t="s">
        <v>218</v>
      </c>
      <c r="B30" s="25" t="n">
        <f aca="false">Assumptions!B4/Forecast!C23</f>
        <v>31.486697015051</v>
      </c>
    </row>
    <row r="33" customFormat="false" ht="15" hidden="false" customHeight="false" outlineLevel="0" collapsed="false">
      <c r="A33" s="20" t="s">
        <v>219</v>
      </c>
    </row>
    <row r="34" customFormat="false" ht="15" hidden="false" customHeight="false" outlineLevel="0" collapsed="false">
      <c r="A34" s="3" t="s">
        <v>220</v>
      </c>
      <c r="B34" s="4"/>
      <c r="C34" s="39" t="n">
        <v>0.03</v>
      </c>
      <c r="D34" s="39" t="n">
        <v>0.04</v>
      </c>
      <c r="E34" s="39" t="n">
        <v>0.05</v>
      </c>
      <c r="F34" s="39" t="n">
        <v>0.06</v>
      </c>
      <c r="G34" s="39" t="n">
        <v>0.07</v>
      </c>
    </row>
    <row r="35" customFormat="false" ht="15" hidden="false" customHeight="false" outlineLevel="0" collapsed="false">
      <c r="A35" s="29" t="n">
        <f aca="false">$B$11+(-0.02)</f>
        <v>0.0975</v>
      </c>
      <c r="C35" s="22" t="n">
        <f aca="false">(SUMPRODUCT($C$7:$L$7/(1+$A35)^$C$5:$L$5)+$L$7*(1+C$34)/($A35-C$34)/(1+$A35)^$L$5+$B$19-$B$20)/Assumptions!$B$5*(1+$A35)^Assumptions!$B$13</f>
        <v>2692.71752532262</v>
      </c>
      <c r="D35" s="22" t="n">
        <f aca="false">(SUMPRODUCT($C$7:$L$7/(1+$A35)^$C$5:$L$5)+$L$7*(1+D$34)/($A35-D$34)/(1+$A35)^$L$5+$B$19-$B$20)/Assumptions!$B$5*(1+$A35)^Assumptions!$B$13</f>
        <v>2953.97380938815</v>
      </c>
      <c r="E35" s="22" t="n">
        <f aca="false">(SUMPRODUCT($C$7:$L$7/(1+$A35)^$C$5:$L$5)+$L$7*(1+E$34)/($A35-E$34)/(1+$A35)^$L$5+$B$19-$B$20)/Assumptions!$B$5*(1+$A35)^Assumptions!$B$13</f>
        <v>3325.23273937601</v>
      </c>
      <c r="F35" s="22" t="n">
        <f aca="false">(SUMPRODUCT($C$7:$L$7/(1+$A35)^$C$5:$L$5)+$L$7*(1+F$34)/($A35-F$34)/(1+$A35)^$L$5+$B$19-$B$20)/Assumptions!$B$5*(1+$A35)^Assumptions!$B$13</f>
        <v>3894.49643202406</v>
      </c>
      <c r="G35" s="22" t="n">
        <f aca="false">(SUMPRODUCT($C$7:$L$7/(1+$A35)^$C$5:$L$5)+$L$7*(1+G$34)/($A35-G$34)/(1+$A35)^$L$5+$B$19-$B$20)/Assumptions!$B$5*(1+$A35)^Assumptions!$B$13</f>
        <v>4877.77008296161</v>
      </c>
    </row>
    <row r="36" customFormat="false" ht="15" hidden="false" customHeight="false" outlineLevel="0" collapsed="false">
      <c r="A36" s="29" t="n">
        <f aca="false">$B$11+(-0.01)</f>
        <v>0.1075</v>
      </c>
      <c r="C36" s="22" t="n">
        <f aca="false">(SUMPRODUCT($C$7:$L$7/(1+$A36)^$C$5:$L$5)+$L$7*(1+C$34)/($A36-C$34)/(1+$A36)^$L$5+$B$19-$B$20)/Assumptions!$B$5*(1+$A36)^Assumptions!$B$13</f>
        <v>2378.56769019435</v>
      </c>
      <c r="D36" s="22" t="n">
        <f aca="false">(SUMPRODUCT($C$7:$L$7/(1+$A36)^$C$5:$L$5)+$L$7*(1+D$34)/($A36-D$34)/(1+$A36)^$L$5+$B$19-$B$20)/Assumptions!$B$5*(1+$A36)^Assumptions!$B$13</f>
        <v>2558.88298215455</v>
      </c>
      <c r="E36" s="22" t="n">
        <f aca="false">(SUMPRODUCT($C$7:$L$7/(1+$A36)^$C$5:$L$5)+$L$7*(1+E$34)/($A36-E$34)/(1+$A36)^$L$5+$B$19-$B$20)/Assumptions!$B$5*(1+$A36)^Assumptions!$B$13</f>
        <v>2801.9166365357</v>
      </c>
      <c r="F36" s="22" t="n">
        <f aca="false">(SUMPRODUCT($C$7:$L$7/(1+$A36)^$C$5:$L$5)+$L$7*(1+F$34)/($A36-F$34)/(1+$A36)^$L$5+$B$19-$B$20)/Assumptions!$B$5*(1+$A36)^Assumptions!$B$13</f>
        <v>3147.28025065627</v>
      </c>
      <c r="G36" s="22" t="n">
        <f aca="false">(SUMPRODUCT($C$7:$L$7/(1+$A36)^$C$5:$L$5)+$L$7*(1+G$34)/($A36-G$34)/(1+$A36)^$L$5+$B$19-$B$20)/Assumptions!$B$5*(1+$A36)^Assumptions!$B$13</f>
        <v>3676.83779230781</v>
      </c>
    </row>
    <row r="37" customFormat="false" ht="15" hidden="false" customHeight="false" outlineLevel="0" collapsed="false">
      <c r="A37" s="29" t="n">
        <f aca="false">$B$11+(0)</f>
        <v>0.1175</v>
      </c>
      <c r="C37" s="22" t="n">
        <f aca="false">(SUMPRODUCT($C$7:$L$7/(1+$A37)^$C$5:$L$5)+$L$7*(1+C$34)/($A37-C$34)/(1+$A37)^$L$5+$B$19-$B$20)/Assumptions!$B$5*(1+$A37)^Assumptions!$B$13</f>
        <v>2137.65363812915</v>
      </c>
      <c r="D37" s="22" t="n">
        <f aca="false">(SUMPRODUCT($C$7:$L$7/(1+$A37)^$C$5:$L$5)+$L$7*(1+D$34)/($A37-D$34)/(1+$A37)^$L$5+$B$19-$B$20)/Assumptions!$B$5*(1+$A37)^Assumptions!$B$13</f>
        <v>2267.13587842762</v>
      </c>
      <c r="E37" s="40" t="n">
        <f aca="false">(SUMPRODUCT($C$7:$L$7/(1+$A37)^$C$5:$L$5)+$L$7*(1+E$34)/($A37-E$34)/(1+$A37)^$L$5+$B$19-$B$20)/Assumptions!$B$5*(1+$A37)^Assumptions!$B$13</f>
        <v>2434.98322696268</v>
      </c>
      <c r="F37" s="22" t="n">
        <f aca="false">(SUMPRODUCT($C$7:$L$7/(1+$A37)^$C$5:$L$5)+$L$7*(1+F$34)/($A37-F$34)/(1+$A37)^$L$5+$B$19-$B$20)/Assumptions!$B$5*(1+$A37)^Assumptions!$B$13</f>
        <v>2661.21226194471</v>
      </c>
      <c r="G37" s="22" t="n">
        <f aca="false">(SUMPRODUCT($C$7:$L$7/(1+$A37)^$C$5:$L$5)+$L$7*(1+G$34)/($A37-G$34)/(1+$A37)^$L$5+$B$19-$B$20)/Assumptions!$B$5*(1+$A37)^Assumptions!$B$13</f>
        <v>2982.69562744549</v>
      </c>
    </row>
    <row r="38" customFormat="false" ht="15" hidden="false" customHeight="false" outlineLevel="0" collapsed="false">
      <c r="A38" s="29" t="n">
        <f aca="false">$B$11+(0.01)</f>
        <v>0.1275</v>
      </c>
      <c r="C38" s="22" t="n">
        <f aca="false">(SUMPRODUCT($C$7:$L$7/(1+$A38)^$C$5:$L$5)+$L$7*(1+C$34)/($A38-C$34)/(1+$A38)^$L$5+$B$19-$B$20)/Assumptions!$B$5*(1+$A38)^Assumptions!$B$13</f>
        <v>1947.37851162806</v>
      </c>
      <c r="D38" s="22" t="n">
        <f aca="false">(SUMPRODUCT($C$7:$L$7/(1+$A38)^$C$5:$L$5)+$L$7*(1+D$34)/($A38-D$34)/(1+$A38)^$L$5+$B$19-$B$20)/Assumptions!$B$5*(1+$A38)^Assumptions!$B$13</f>
        <v>2043.24491679085</v>
      </c>
      <c r="E38" s="22" t="n">
        <f aca="false">(SUMPRODUCT($C$7:$L$7/(1+$A38)^$C$5:$L$5)+$L$7*(1+E$34)/($A38-E$34)/(1+$A38)^$L$5+$B$19-$B$20)/Assumptions!$B$5*(1+$A38)^Assumptions!$B$13</f>
        <v>2163.85103941501</v>
      </c>
      <c r="F38" s="22" t="n">
        <f aca="false">(SUMPRODUCT($C$7:$L$7/(1+$A38)^$C$5:$L$5)+$L$7*(1+F$34)/($A38-F$34)/(1+$A38)^$L$5+$B$19-$B$20)/Assumptions!$B$5*(1+$A38)^Assumptions!$B$13</f>
        <v>2320.19230948337</v>
      </c>
      <c r="G38" s="22" t="n">
        <f aca="false">(SUMPRODUCT($C$7:$L$7/(1+$A38)^$C$5:$L$5)+$L$7*(1+G$34)/($A38-G$34)/(1+$A38)^$L$5+$B$19-$B$20)/Assumptions!$B$5*(1+$A38)^Assumptions!$B$13</f>
        <v>2530.91315174942</v>
      </c>
    </row>
    <row r="39" customFormat="false" ht="15" hidden="false" customHeight="false" outlineLevel="0" collapsed="false">
      <c r="A39" s="29" t="n">
        <f aca="false">$B$11+(0.02)</f>
        <v>0.1375</v>
      </c>
      <c r="C39" s="22" t="n">
        <f aca="false">(SUMPRODUCT($C$7:$L$7/(1+$A39)^$C$5:$L$5)+$L$7*(1+C$34)/($A39-C$34)/(1+$A39)^$L$5+$B$19-$B$20)/Assumptions!$B$5*(1+$A39)^Assumptions!$B$13</f>
        <v>1793.55781909962</v>
      </c>
      <c r="D39" s="22" t="n">
        <f aca="false">(SUMPRODUCT($C$7:$L$7/(1+$A39)^$C$5:$L$5)+$L$7*(1+D$34)/($A39-D$34)/(1+$A39)^$L$5+$B$19-$B$20)/Assumptions!$B$5*(1+$A39)^Assumptions!$B$13</f>
        <v>1866.28512678777</v>
      </c>
      <c r="E39" s="22" t="n">
        <f aca="false">(SUMPRODUCT($C$7:$L$7/(1+$A39)^$C$5:$L$5)+$L$7*(1+E$34)/($A39-E$34)/(1+$A39)^$L$5+$B$19-$B$20)/Assumptions!$B$5*(1+$A39)^Assumptions!$B$13</f>
        <v>1955.63581909037</v>
      </c>
      <c r="F39" s="22" t="n">
        <f aca="false">(SUMPRODUCT($C$7:$L$7/(1+$A39)^$C$5:$L$5)+$L$7*(1+F$34)/($A39-F$34)/(1+$A39)^$L$5+$B$19-$B$20)/Assumptions!$B$5*(1+$A39)^Assumptions!$B$13</f>
        <v>2068.04475456782</v>
      </c>
      <c r="G39" s="22" t="n">
        <f aca="false">(SUMPRODUCT($C$7:$L$7/(1+$A39)^$C$5:$L$5)+$L$7*(1+G$34)/($A39-G$34)/(1+$A39)^$L$5+$B$19-$B$20)/Assumptions!$B$5*(1+$A39)^Assumptions!$B$13</f>
        <v>2213.76004129786</v>
      </c>
    </row>
    <row r="40" customFormat="false" ht="15" hidden="false" customHeight="false" outlineLevel="0" collapsed="false">
      <c r="A40" s="2" t="s">
        <v>221</v>
      </c>
    </row>
    <row r="42" customFormat="false" ht="15" hidden="false" customHeight="false" outlineLevel="0" collapsed="false">
      <c r="A42" s="20" t="s">
        <v>222</v>
      </c>
    </row>
    <row r="43" customFormat="false" ht="15" hidden="false" customHeight="false" outlineLevel="0" collapsed="false">
      <c r="A43" s="41" t="s">
        <v>223</v>
      </c>
      <c r="C43" s="42" t="n">
        <v>0</v>
      </c>
      <c r="D43" s="42" t="n">
        <v>0.25</v>
      </c>
      <c r="E43" s="42" t="n">
        <v>0.5</v>
      </c>
      <c r="F43" s="42" t="n">
        <v>0.75</v>
      </c>
      <c r="G43" s="42" t="n">
        <v>1</v>
      </c>
    </row>
    <row r="44" customFormat="false" ht="15" hidden="false" customHeight="false" outlineLevel="0" collapsed="false">
      <c r="A44" s="10" t="s">
        <v>224</v>
      </c>
      <c r="C44" s="22" t="n">
        <f aca="false">($B$16+C43*(Assumptions!$B$7+Assumptions!$B$8)-$B$20)/Assumptions!$B$5*$B$23</f>
        <v>2083.44598383078</v>
      </c>
      <c r="D44" s="22" t="n">
        <f aca="false">($B$16+D43*(Assumptions!$B$7+Assumptions!$B$8)-$B$20)/Assumptions!$B$5*$B$23</f>
        <v>2259.21460539673</v>
      </c>
      <c r="E44" s="22" t="n">
        <f aca="false">($B$16+E43*(Assumptions!$B$7+Assumptions!$B$8)-$B$20)/Assumptions!$B$5*$B$23</f>
        <v>2434.98322696268</v>
      </c>
      <c r="F44" s="22" t="n">
        <f aca="false">($B$16+F43*(Assumptions!$B$7+Assumptions!$B$8)-$B$20)/Assumptions!$B$5*$B$23</f>
        <v>2610.75184852863</v>
      </c>
      <c r="G44" s="22" t="n">
        <f aca="false">($B$16+G43*(Assumptions!$B$7+Assumptions!$B$8)-$B$20)/Assumptions!$B$5*$B$23</f>
        <v>2786.52047009458</v>
      </c>
    </row>
    <row r="47" customFormat="false" ht="15" hidden="false" customHeight="false" outlineLevel="0" collapsed="false">
      <c r="A47" s="20" t="s">
        <v>225</v>
      </c>
    </row>
    <row r="48" customFormat="false" ht="15" hidden="false" customHeight="false" outlineLevel="0" collapsed="false">
      <c r="A48" s="10" t="s">
        <v>226</v>
      </c>
      <c r="B48" s="43" t="n">
        <v>0.083</v>
      </c>
    </row>
    <row r="49" customFormat="false" ht="15" hidden="false" customHeight="false" outlineLevel="0" collapsed="false">
      <c r="A49" s="10" t="s">
        <v>227</v>
      </c>
      <c r="B49" s="22" t="n">
        <f aca="false">(SUMPRODUCT($C$7:$L$7/(1+$B$48)^$C$5:$L$5)+$L$7*(1+$B$12)/($B$48-$B$12)/(1+$B$48)^$L$5+$B$19-$B$20)/Assumptions!$B$5*(1+$B$48)^Assumptions!$B$13</f>
        <v>4652.45728963489</v>
      </c>
    </row>
    <row r="50" customFormat="false" ht="15" hidden="false" customHeight="false" outlineLevel="0" collapsed="false">
      <c r="A50" s="10" t="s">
        <v>228</v>
      </c>
      <c r="B50" s="21" t="n">
        <f aca="false">(B48-Assumptions!B16)/Assumptions!B17</f>
        <v>0.0136842105263158</v>
      </c>
    </row>
    <row r="51" customFormat="false" ht="15" hidden="false" customHeight="false" outlineLevel="0" collapsed="false">
      <c r="A51" s="10" t="s">
        <v>229</v>
      </c>
      <c r="B51" s="13" t="n">
        <f aca="false">Assumptions!B18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5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3" t="s">
        <v>232</v>
      </c>
      <c r="B4" s="4" t="s">
        <v>233</v>
      </c>
      <c r="C4" s="4" t="s">
        <v>234</v>
      </c>
      <c r="D4" s="4" t="s">
        <v>235</v>
      </c>
      <c r="E4" s="4" t="s">
        <v>236</v>
      </c>
      <c r="F4" s="4" t="s">
        <v>237</v>
      </c>
      <c r="G4" s="4" t="s">
        <v>238</v>
      </c>
    </row>
    <row r="5" customFormat="false" ht="15" hidden="false" customHeight="false" outlineLevel="0" collapsed="false">
      <c r="A5" s="10" t="s">
        <v>239</v>
      </c>
      <c r="B5" s="17" t="n">
        <v>269110</v>
      </c>
      <c r="C5" s="44" t="n">
        <v>43.8</v>
      </c>
      <c r="D5" s="44" t="n">
        <v>11.2</v>
      </c>
      <c r="E5" s="18" t="n">
        <v>0.274</v>
      </c>
      <c r="F5" s="18" t="n">
        <v>0.214</v>
      </c>
      <c r="G5" s="26" t="n">
        <f aca="false">D5/E5/100</f>
        <v>0.408759124087591</v>
      </c>
    </row>
    <row r="6" customFormat="false" ht="15" hidden="false" customHeight="false" outlineLevel="0" collapsed="false">
      <c r="A6" s="10" t="s">
        <v>240</v>
      </c>
      <c r="B6" s="17" t="n">
        <v>83453</v>
      </c>
      <c r="C6" s="44" t="n">
        <v>29.2</v>
      </c>
      <c r="D6" s="44" t="n">
        <v>8.1</v>
      </c>
      <c r="E6" s="18" t="n">
        <v>0.306</v>
      </c>
      <c r="F6" s="18" t="n">
        <v>0.186</v>
      </c>
      <c r="G6" s="26" t="n">
        <f aca="false">D6/E6/100</f>
        <v>0.264705882352941</v>
      </c>
    </row>
    <row r="7" customFormat="false" ht="15" hidden="false" customHeight="false" outlineLevel="0" collapsed="false">
      <c r="A7" s="10" t="s">
        <v>241</v>
      </c>
      <c r="B7" s="17" t="n">
        <v>24168</v>
      </c>
      <c r="C7" s="44" t="n">
        <v>30.2</v>
      </c>
      <c r="D7" s="44" t="n">
        <v>8.6</v>
      </c>
      <c r="E7" s="18" t="n">
        <v>0.325</v>
      </c>
      <c r="F7" s="18" t="n">
        <v>0.103</v>
      </c>
      <c r="G7" s="26" t="n">
        <f aca="false">D7/E7/100</f>
        <v>0.264615384615385</v>
      </c>
    </row>
    <row r="8" customFormat="false" ht="15" hidden="false" customHeight="false" outlineLevel="0" collapsed="false">
      <c r="A8" s="10" t="s">
        <v>242</v>
      </c>
      <c r="B8" s="17" t="n">
        <v>33897</v>
      </c>
      <c r="C8" s="44" t="n">
        <v>49.8</v>
      </c>
      <c r="D8" s="44" t="n">
        <v>5.6</v>
      </c>
      <c r="E8" s="18" t="n">
        <v>0.118</v>
      </c>
      <c r="F8" s="18" t="n">
        <v>0.124</v>
      </c>
      <c r="G8" s="26" t="n">
        <f aca="false">D8/E8/100</f>
        <v>0.474576271186441</v>
      </c>
    </row>
    <row r="9" customFormat="false" ht="15" hidden="false" customHeight="false" outlineLevel="0" collapsed="false">
      <c r="A9" s="45" t="s">
        <v>243</v>
      </c>
      <c r="C9" s="46" t="n">
        <f aca="false">MEDIAN(C5:C8)</f>
        <v>37</v>
      </c>
      <c r="D9" s="46" t="n">
        <f aca="false">MEDIAN(D5:D8)</f>
        <v>8.35</v>
      </c>
      <c r="E9" s="29" t="n">
        <f aca="false">MEDIAN(E5:E8)</f>
        <v>0.29</v>
      </c>
      <c r="F9" s="29" t="n">
        <f aca="false">MEDIAN(F5:F8)</f>
        <v>0.155</v>
      </c>
      <c r="G9" s="47" t="n">
        <f aca="false">MEDIAN(G5:G8)</f>
        <v>0.336732503220266</v>
      </c>
    </row>
    <row r="10" customFormat="false" ht="15" hidden="false" customHeight="false" outlineLevel="0" collapsed="false">
      <c r="A10" s="45" t="s">
        <v>244</v>
      </c>
      <c r="C10" s="25" t="n">
        <f aca="false">AVERAGE(C5:C8)</f>
        <v>38.25</v>
      </c>
      <c r="D10" s="25" t="n">
        <f aca="false">AVERAGE(D5:D8)</f>
        <v>8.375</v>
      </c>
      <c r="E10" s="21" t="n">
        <f aca="false">AVERAGE(E5:E8)</f>
        <v>0.25575</v>
      </c>
      <c r="F10" s="21" t="n">
        <f aca="false">AVERAGE(F5:F8)</f>
        <v>0.15675</v>
      </c>
      <c r="G10" s="26" t="n">
        <f aca="false">AVERAGE(G5:G8)</f>
        <v>0.353164165560589</v>
      </c>
    </row>
    <row r="12" customFormat="false" ht="15" hidden="false" customHeight="false" outlineLevel="0" collapsed="false">
      <c r="A12" s="10" t="s">
        <v>245</v>
      </c>
      <c r="B12" s="17" t="n">
        <v>39308</v>
      </c>
      <c r="C12" s="44" t="n">
        <v>75.5</v>
      </c>
      <c r="D12" s="44" t="n">
        <v>9.3</v>
      </c>
      <c r="E12" s="18" t="n">
        <v>0.102</v>
      </c>
      <c r="F12" s="18" t="n">
        <v>0.188</v>
      </c>
      <c r="G12" s="26" t="n">
        <f aca="false">D12/E12/100</f>
        <v>0.911764705882353</v>
      </c>
      <c r="H12" s="2" t="s">
        <v>246</v>
      </c>
    </row>
    <row r="14" customFormat="false" ht="15" hidden="false" customHeight="false" outlineLevel="0" collapsed="false">
      <c r="A14" s="45" t="s">
        <v>247</v>
      </c>
      <c r="B14" s="11" t="n">
        <f aca="false">Assumptions!B6</f>
        <v>311366.528</v>
      </c>
      <c r="C14" s="25" t="n">
        <f aca="false">Assumptions!B4/C17</f>
        <v>33.402209786196</v>
      </c>
      <c r="D14" s="25" t="n">
        <f aca="false">Assumptions!B4/C18</f>
        <v>7.58671884213348</v>
      </c>
      <c r="E14" s="13" t="n">
        <f aca="false">Historical!H50</f>
        <v>0.239825313724974</v>
      </c>
      <c r="F14" s="21" t="n">
        <f aca="false">C16/C19</f>
        <v>0.275891667899956</v>
      </c>
      <c r="G14" s="26" t="n">
        <f aca="false">D14/E14/100</f>
        <v>0.316343538732268</v>
      </c>
    </row>
    <row r="16" customFormat="false" ht="15" hidden="false" customHeight="false" outlineLevel="0" collapsed="false">
      <c r="A16" s="10" t="s">
        <v>248</v>
      </c>
      <c r="C16" s="17" t="n">
        <v>9321</v>
      </c>
    </row>
    <row r="17" customFormat="false" ht="15" hidden="false" customHeight="false" outlineLevel="0" collapsed="false">
      <c r="A17" s="10" t="s">
        <v>249</v>
      </c>
      <c r="C17" s="19" t="n">
        <v>139.38</v>
      </c>
    </row>
    <row r="18" customFormat="false" ht="15" hidden="false" customHeight="false" outlineLevel="0" collapsed="false">
      <c r="A18" s="10" t="s">
        <v>250</v>
      </c>
      <c r="C18" s="16" t="n">
        <f aca="false">Historical!H49/Assumptions!B5</f>
        <v>613.651315789474</v>
      </c>
    </row>
    <row r="19" customFormat="false" ht="15" hidden="false" customHeight="false" outlineLevel="0" collapsed="false">
      <c r="A19" s="10" t="s">
        <v>251</v>
      </c>
      <c r="C19" s="17" t="n">
        <v>33785</v>
      </c>
    </row>
    <row r="21" customFormat="false" ht="15" hidden="false" customHeight="false" outlineLevel="0" collapsed="false">
      <c r="A21" s="20" t="s">
        <v>252</v>
      </c>
    </row>
    <row r="22" customFormat="false" ht="15" hidden="false" customHeight="false" outlineLevel="0" collapsed="false">
      <c r="A22" s="10" t="s">
        <v>253</v>
      </c>
      <c r="C22" s="22" t="n">
        <f aca="false">C9*C17</f>
        <v>5157.06</v>
      </c>
    </row>
    <row r="23" customFormat="false" ht="15" hidden="false" customHeight="false" outlineLevel="0" collapsed="false">
      <c r="A23" s="10" t="s">
        <v>254</v>
      </c>
      <c r="C23" s="22" t="n">
        <f aca="false">G9*E14*100*C18</f>
        <v>4955.66259476872</v>
      </c>
    </row>
    <row r="24" customFormat="false" ht="15" hidden="false" customHeight="false" outlineLevel="0" collapsed="false">
      <c r="A24" s="45" t="s">
        <v>255</v>
      </c>
      <c r="C24" s="38" t="n">
        <f aca="false">AVERAGE(C22:C23)</f>
        <v>5056.36129738436</v>
      </c>
    </row>
    <row r="25" customFormat="false" ht="15" hidden="false" customHeight="false" outlineLevel="0" collapsed="false">
      <c r="A25" s="10" t="s">
        <v>213</v>
      </c>
      <c r="C25" s="21" t="n">
        <f aca="false">C24/Assumptions!B4-1</f>
        <v>0.0860815571321334</v>
      </c>
    </row>
    <row r="27" customFormat="false" ht="15" hidden="false" customHeight="false" outlineLevel="0" collapsed="false">
      <c r="A27" s="20" t="s">
        <v>256</v>
      </c>
    </row>
    <row r="28" customFormat="false" ht="15" hidden="false" customHeight="false" outlineLevel="0" collapsed="false">
      <c r="A28" s="10" t="s">
        <v>257</v>
      </c>
      <c r="C28" s="25" t="n">
        <f aca="false">Assumptions!B6/((Forecast!B9-Forecast!B10)*(1-Assumptions!B35))</f>
        <v>49.2298554093047</v>
      </c>
    </row>
    <row r="29" customFormat="false" ht="15" hidden="false" customHeight="false" outlineLevel="0" collapsed="false">
      <c r="A29" s="10" t="s">
        <v>258</v>
      </c>
      <c r="C29" s="22" t="n">
        <f aca="false">MEDIAN(C5:C8,C12)*C17</f>
        <v>6104.844</v>
      </c>
    </row>
    <row r="30" customFormat="false" ht="15" hidden="false" customHeight="false" outlineLevel="0" collapsed="false">
      <c r="A30" s="10" t="s">
        <v>259</v>
      </c>
      <c r="C30" s="22" t="n">
        <f aca="false">C10*C17</f>
        <v>5331.285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3" t="s">
        <v>262</v>
      </c>
      <c r="B4" s="4" t="s">
        <v>263</v>
      </c>
      <c r="C4" s="4" t="s">
        <v>213</v>
      </c>
      <c r="D4" s="4" t="s">
        <v>264</v>
      </c>
    </row>
    <row r="5" customFormat="false" ht="15" hidden="false" customHeight="false" outlineLevel="0" collapsed="false">
      <c r="A5" s="10" t="s">
        <v>265</v>
      </c>
      <c r="B5" s="11" t="n">
        <f aca="false">DCF!B24</f>
        <v>2434.98322696268</v>
      </c>
      <c r="C5" s="21" t="n">
        <f aca="false">B5/Assumptions!$B$4-1</f>
        <v>-0.476977569601625</v>
      </c>
      <c r="D5" s="48" t="n">
        <v>0.5</v>
      </c>
    </row>
    <row r="6" customFormat="false" ht="15" hidden="false" customHeight="false" outlineLevel="0" collapsed="false">
      <c r="A6" s="10" t="s">
        <v>266</v>
      </c>
      <c r="B6" s="11" t="n">
        <f aca="false">Comps!C24</f>
        <v>5056.36129738436</v>
      </c>
      <c r="C6" s="21" t="n">
        <f aca="false">B6/Assumptions!$B$4-1</f>
        <v>0.0860815571321334</v>
      </c>
      <c r="D6" s="49" t="n">
        <f aca="false">1-D5</f>
        <v>0.5</v>
      </c>
    </row>
    <row r="7" customFormat="false" ht="15" hidden="false" customHeight="false" outlineLevel="0" collapsed="false">
      <c r="A7" s="45" t="s">
        <v>267</v>
      </c>
      <c r="B7" s="37" t="n">
        <f aca="false">B5*D5+B6*D6</f>
        <v>3745.67226217352</v>
      </c>
      <c r="C7" s="21" t="n">
        <f aca="false">B7/Assumptions!$B$4-1</f>
        <v>-0.195448006234746</v>
      </c>
    </row>
    <row r="8" customFormat="false" ht="15" hidden="false" customHeight="false" outlineLevel="0" collapsed="false">
      <c r="A8" s="10" t="s">
        <v>268</v>
      </c>
      <c r="B8" s="26" t="n">
        <f aca="false">1+Assumptions!B19-Assumptions!B11</f>
        <v>1.10783422115302</v>
      </c>
    </row>
    <row r="9" customFormat="false" ht="15" hidden="false" customHeight="false" outlineLevel="0" collapsed="false">
      <c r="A9" s="45" t="s">
        <v>269</v>
      </c>
      <c r="B9" s="38" t="n">
        <f aca="false">ROUND(B7*B8/10,0)*10</f>
        <v>4150</v>
      </c>
      <c r="C9" s="29" t="n">
        <f aca="false">B9/Assumptions!B4-1</f>
        <v>-0.108600395222957</v>
      </c>
    </row>
    <row r="10" customFormat="false" ht="15" hidden="false" customHeight="false" outlineLevel="0" collapsed="false">
      <c r="A10" s="10" t="s">
        <v>270</v>
      </c>
      <c r="B10" s="16" t="n">
        <f aca="false">Assumptions!B4</f>
        <v>4655.6</v>
      </c>
    </row>
    <row r="12" customFormat="false" ht="15" hidden="false" customHeight="false" outlineLevel="0" collapsed="false">
      <c r="A12" s="20" t="s">
        <v>271</v>
      </c>
    </row>
    <row r="13" customFormat="false" ht="15" hidden="false" customHeight="false" outlineLevel="0" collapsed="false">
      <c r="A13" s="10" t="s">
        <v>272</v>
      </c>
      <c r="B13" s="27" t="n">
        <v>0.15</v>
      </c>
    </row>
    <row r="14" customFormat="false" ht="15" hidden="false" customHeight="false" outlineLevel="0" collapsed="false">
      <c r="A14" s="10" t="s">
        <v>273</v>
      </c>
      <c r="B14" s="27" t="n">
        <v>-0.15</v>
      </c>
    </row>
    <row r="15" customFormat="false" ht="15" hidden="false" customHeight="false" outlineLevel="0" collapsed="false">
      <c r="A15" s="45" t="s">
        <v>4</v>
      </c>
      <c r="B15" s="5" t="str">
        <f aca="false">IF(C9&gt;=B13,"BUY",IF(C9&lt;=B14,"REDUCE","HOLD"))</f>
        <v>HOLD</v>
      </c>
    </row>
    <row r="17" customFormat="false" ht="15" hidden="false" customHeight="false" outlineLevel="0" collapsed="false">
      <c r="A17" s="20" t="s">
        <v>274</v>
      </c>
    </row>
    <row r="18" customFormat="false" ht="15" hidden="false" customHeight="false" outlineLevel="0" collapsed="false">
      <c r="A18" s="3" t="s">
        <v>275</v>
      </c>
      <c r="B18" s="4" t="s">
        <v>276</v>
      </c>
      <c r="C18" s="4" t="s">
        <v>277</v>
      </c>
      <c r="D18" s="4" t="s">
        <v>213</v>
      </c>
      <c r="E18" s="4" t="s">
        <v>4</v>
      </c>
    </row>
    <row r="19" customFormat="false" ht="15" hidden="false" customHeight="false" outlineLevel="0" collapsed="false">
      <c r="A19" s="50" t="n">
        <v>0</v>
      </c>
      <c r="B19" s="22" t="n">
        <f aca="false">$B$5*A19+$B$6*(1-A19)</f>
        <v>5056.36129738436</v>
      </c>
      <c r="C19" s="22" t="n">
        <f aca="false">ROUND(B19*$B$8/10,0)*10</f>
        <v>5600</v>
      </c>
      <c r="D19" s="21" t="n">
        <f aca="false">C19/Assumptions!$B$4-1</f>
        <v>0.202852478735286</v>
      </c>
      <c r="E19" s="10" t="str">
        <f aca="false">IF(D19&gt;=$B$13,"BUY",IF(D19&lt;=$B$14,"REDUCE","HOLD"))</f>
        <v>BUY</v>
      </c>
    </row>
    <row r="20" customFormat="false" ht="15" hidden="false" customHeight="false" outlineLevel="0" collapsed="false">
      <c r="A20" s="50" t="n">
        <v>0.25</v>
      </c>
      <c r="B20" s="22" t="n">
        <f aca="false">$B$5*A20+$B$6*(1-A20)</f>
        <v>4401.01677977894</v>
      </c>
      <c r="C20" s="22" t="n">
        <f aca="false">ROUND(B20*$B$8/10,0)*10</f>
        <v>4880</v>
      </c>
      <c r="D20" s="21" t="n">
        <f aca="false">C20/Assumptions!$B$4-1</f>
        <v>0.0482000171836068</v>
      </c>
      <c r="E20" s="10" t="str">
        <f aca="false">IF(D20&gt;=$B$13,"BUY",IF(D20&lt;=$B$14,"REDUCE","HOLD"))</f>
        <v>HOLD</v>
      </c>
    </row>
    <row r="21" customFormat="false" ht="15" hidden="false" customHeight="false" outlineLevel="0" collapsed="false">
      <c r="A21" s="50" t="n">
        <v>0.4</v>
      </c>
      <c r="B21" s="22" t="n">
        <f aca="false">$B$5*A21+$B$6*(1-A21)</f>
        <v>4007.81006921569</v>
      </c>
      <c r="C21" s="22" t="n">
        <f aca="false">ROUND(B21*$B$8/10,0)*10</f>
        <v>4440</v>
      </c>
      <c r="D21" s="21" t="n">
        <f aca="false">C21/Assumptions!$B$4-1</f>
        <v>-0.0463098204313086</v>
      </c>
      <c r="E21" s="10" t="str">
        <f aca="false">IF(D21&gt;=$B$13,"BUY",IF(D21&lt;=$B$14,"REDUCE","HOLD"))</f>
        <v>HOLD</v>
      </c>
    </row>
    <row r="22" customFormat="false" ht="15" hidden="false" customHeight="false" outlineLevel="0" collapsed="false">
      <c r="A22" s="50" t="n">
        <v>0.5</v>
      </c>
      <c r="B22" s="22" t="n">
        <f aca="false">$B$5*A22+$B$6*(1-A22)</f>
        <v>3745.67226217352</v>
      </c>
      <c r="C22" s="22" t="n">
        <f aca="false">ROUND(B22*$B$8/10,0)*10</f>
        <v>4150</v>
      </c>
      <c r="D22" s="21" t="n">
        <f aca="false">C22/Assumptions!$B$4-1</f>
        <v>-0.108600395222957</v>
      </c>
      <c r="E22" s="10" t="str">
        <f aca="false">IF(D22&gt;=$B$13,"BUY",IF(D22&lt;=$B$14,"REDUCE","HOLD"))</f>
        <v>HOLD</v>
      </c>
    </row>
    <row r="23" customFormat="false" ht="15" hidden="false" customHeight="false" outlineLevel="0" collapsed="false">
      <c r="A23" s="50" t="n">
        <v>0.65</v>
      </c>
      <c r="B23" s="22" t="n">
        <f aca="false">$B$5*A23+$B$6*(1-A23)</f>
        <v>3352.46555161027</v>
      </c>
      <c r="C23" s="22" t="n">
        <f aca="false">ROUND(B23*$B$8/10,0)*10</f>
        <v>3710</v>
      </c>
      <c r="D23" s="21" t="n">
        <f aca="false">C23/Assumptions!$B$4-1</f>
        <v>-0.203110232837873</v>
      </c>
      <c r="E23" s="10" t="str">
        <f aca="false">IF(D23&gt;=$B$13,"BUY",IF(D23&lt;=$B$14,"REDUCE","HOLD"))</f>
        <v>REDUCE</v>
      </c>
    </row>
    <row r="24" customFormat="false" ht="15" hidden="false" customHeight="false" outlineLevel="0" collapsed="false">
      <c r="A24" s="50" t="n">
        <v>0.75</v>
      </c>
      <c r="B24" s="22" t="n">
        <f aca="false">$B$5*A24+$B$6*(1-A24)</f>
        <v>3090.3277445681</v>
      </c>
      <c r="C24" s="22" t="n">
        <f aca="false">ROUND(B24*$B$8/10,0)*10</f>
        <v>3420</v>
      </c>
      <c r="D24" s="21" t="n">
        <f aca="false">C24/Assumptions!$B$4-1</f>
        <v>-0.265400807629521</v>
      </c>
      <c r="E24" s="10" t="str">
        <f aca="false">IF(D24&gt;=$B$13,"BUY",IF(D24&lt;=$B$14,"REDUCE","HOLD"))</f>
        <v>REDUCE</v>
      </c>
    </row>
    <row r="25" customFormat="false" ht="15" hidden="false" customHeight="false" outlineLevel="0" collapsed="false">
      <c r="A25" s="50" t="n">
        <v>1</v>
      </c>
      <c r="B25" s="22" t="n">
        <f aca="false">$B$5*A25+$B$6*(1-A25)</f>
        <v>2434.98322696268</v>
      </c>
      <c r="C25" s="22" t="n">
        <f aca="false">ROUND(B25*$B$8/10,0)*10</f>
        <v>2700</v>
      </c>
      <c r="D25" s="21" t="n">
        <f aca="false">C25/Assumptions!$B$4-1</f>
        <v>-0.420053269181201</v>
      </c>
      <c r="E25" s="10" t="str">
        <f aca="false">IF(D25&gt;=$B$13,"BUY",IF(D25&lt;=$B$14,"REDUCE","HOLD"))</f>
        <v>REDUCE</v>
      </c>
    </row>
    <row r="27" customFormat="false" ht="15" hidden="false" customHeight="false" outlineLevel="0" collapsed="false">
      <c r="A27" s="20" t="s">
        <v>278</v>
      </c>
    </row>
    <row r="28" customFormat="false" ht="15" hidden="false" customHeight="false" outlineLevel="0" collapsed="false">
      <c r="A28" s="10" t="s">
        <v>279</v>
      </c>
      <c r="B28" s="17" t="n">
        <v>5431</v>
      </c>
    </row>
    <row r="29" customFormat="false" ht="15" hidden="false" customHeight="false" outlineLevel="0" collapsed="false">
      <c r="A29" s="10" t="s">
        <v>280</v>
      </c>
      <c r="B29" s="17" t="n">
        <v>3200</v>
      </c>
      <c r="C29" s="17" t="n">
        <v>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15" hidden="false" customHeight="false" outlineLevel="0" collapsed="false">
      <c r="A4" s="3" t="s">
        <v>283</v>
      </c>
      <c r="B4" s="4" t="s">
        <v>284</v>
      </c>
    </row>
    <row r="5" customFormat="false" ht="15" hidden="false" customHeight="false" outlineLevel="0" collapsed="false">
      <c r="A5" s="10" t="s">
        <v>285</v>
      </c>
      <c r="B5" s="17" t="n">
        <v>2434.98322696268</v>
      </c>
    </row>
    <row r="6" customFormat="false" ht="15" hidden="false" customHeight="false" outlineLevel="0" collapsed="false">
      <c r="A6" s="10" t="s">
        <v>286</v>
      </c>
      <c r="B6" s="17" t="n">
        <v>2448.18979525263</v>
      </c>
    </row>
    <row r="7" customFormat="false" ht="15" hidden="false" customHeight="false" outlineLevel="0" collapsed="false">
      <c r="A7" s="10" t="s">
        <v>287</v>
      </c>
      <c r="B7" s="17" t="n">
        <v>2481.83244784862</v>
      </c>
    </row>
    <row r="8" customFormat="false" ht="15" hidden="false" customHeight="false" outlineLevel="0" collapsed="false">
      <c r="A8" s="10" t="s">
        <v>288</v>
      </c>
      <c r="B8" s="17" t="n">
        <v>1787.52075783125</v>
      </c>
    </row>
    <row r="9" customFormat="false" ht="15" hidden="false" customHeight="false" outlineLevel="0" collapsed="false">
      <c r="A9" s="10" t="s">
        <v>289</v>
      </c>
      <c r="B9" s="17" t="n">
        <v>1918.78285672821</v>
      </c>
    </row>
    <row r="10" customFormat="false" ht="15" hidden="false" customHeight="false" outlineLevel="0" collapsed="false">
      <c r="A10" s="10" t="s">
        <v>290</v>
      </c>
      <c r="B10" s="17" t="n">
        <v>2156.83866128012</v>
      </c>
    </row>
    <row r="11" customFormat="false" ht="15" hidden="false" customHeight="false" outlineLevel="0" collapsed="false">
      <c r="A11" s="10" t="s">
        <v>291</v>
      </c>
      <c r="B11" s="17" t="n">
        <v>2448.18979525263</v>
      </c>
    </row>
    <row r="12" customFormat="false" ht="15" hidden="false" customHeight="false" outlineLevel="0" collapsed="false">
      <c r="A12" s="10" t="s">
        <v>292</v>
      </c>
      <c r="B12" s="17" t="n">
        <v>2766.72431852656</v>
      </c>
    </row>
    <row r="13" customFormat="false" ht="15" hidden="false" customHeight="false" outlineLevel="0" collapsed="false">
      <c r="A13" s="10" t="s">
        <v>293</v>
      </c>
      <c r="B13" s="17" t="n">
        <v>3081.82349035945</v>
      </c>
    </row>
    <row r="14" customFormat="false" ht="15" hidden="false" customHeight="false" outlineLevel="0" collapsed="false">
      <c r="A14" s="10" t="s">
        <v>294</v>
      </c>
      <c r="B14" s="17" t="n">
        <v>3298.60196671664</v>
      </c>
    </row>
    <row r="16" customFormat="false" ht="15" hidden="false" customHeight="false" outlineLevel="0" collapsed="false">
      <c r="A16" s="10" t="s">
        <v>270</v>
      </c>
      <c r="B16" s="16" t="n">
        <f aca="false">Assumptions!B4</f>
        <v>4655.6</v>
      </c>
    </row>
    <row r="17" customFormat="false" ht="15" hidden="false" customHeight="false" outlineLevel="0" collapsed="false">
      <c r="A17" s="10" t="s">
        <v>295</v>
      </c>
      <c r="B17" s="51" t="n">
        <v>0.00015</v>
      </c>
    </row>
    <row r="18" customFormat="false" ht="15" hidden="false" customHeight="false" outlineLevel="0" collapsed="false">
      <c r="A18" s="10" t="s">
        <v>296</v>
      </c>
      <c r="B18" s="52" t="n">
        <v>0.12925</v>
      </c>
    </row>
    <row r="19" customFormat="false" ht="15" hidden="false" customHeight="false" outlineLevel="0" collapsed="false">
      <c r="A19" s="10" t="s">
        <v>297</v>
      </c>
      <c r="B19" s="52" t="n">
        <v>0.14435</v>
      </c>
    </row>
    <row r="22" customFormat="false" ht="15" hidden="false" customHeight="false" outlineLevel="0" collapsed="false">
      <c r="A22" s="20" t="s">
        <v>298</v>
      </c>
    </row>
    <row r="23" customFormat="false" ht="15" hidden="false" customHeight="false" outlineLevel="0" collapsed="false">
      <c r="A23" s="10" t="s">
        <v>299</v>
      </c>
      <c r="B23" s="2" t="s">
        <v>300</v>
      </c>
    </row>
    <row r="24" customFormat="false" ht="15" hidden="false" customHeight="false" outlineLevel="0" collapsed="false">
      <c r="A24" s="10" t="s">
        <v>13</v>
      </c>
      <c r="B24" s="2" t="s">
        <v>301</v>
      </c>
    </row>
    <row r="25" customFormat="false" ht="15" hidden="false" customHeight="false" outlineLevel="0" collapsed="false">
      <c r="A25" s="10" t="s">
        <v>302</v>
      </c>
      <c r="B25" s="2" t="s">
        <v>303</v>
      </c>
    </row>
    <row r="26" customFormat="false" ht="15" hidden="false" customHeight="false" outlineLevel="0" collapsed="false">
      <c r="A26" s="10" t="s">
        <v>304</v>
      </c>
      <c r="B26" s="2" t="s">
        <v>305</v>
      </c>
    </row>
    <row r="27" customFormat="false" ht="15" hidden="false" customHeight="false" outlineLevel="0" collapsed="false">
      <c r="A27" s="10" t="s">
        <v>306</v>
      </c>
      <c r="B27" s="2" t="s">
        <v>307</v>
      </c>
    </row>
    <row r="28" customFormat="false" ht="15" hidden="false" customHeight="false" outlineLevel="0" collapsed="false">
      <c r="A28" s="10" t="s">
        <v>308</v>
      </c>
      <c r="B28" s="2" t="s">
        <v>309</v>
      </c>
    </row>
    <row r="29" customFormat="false" ht="15" hidden="false" customHeight="false" outlineLevel="0" collapsed="false">
      <c r="A29" s="10" t="s">
        <v>310</v>
      </c>
      <c r="B29" s="2" t="s">
        <v>311</v>
      </c>
    </row>
    <row r="31" customFormat="false" ht="15" hidden="false" customHeight="false" outlineLevel="0" collapsed="false">
      <c r="A31" s="20" t="s">
        <v>312</v>
      </c>
    </row>
    <row r="32" customFormat="false" ht="15" hidden="false" customHeight="false" outlineLevel="0" collapsed="false">
      <c r="A32" s="10" t="s">
        <v>299</v>
      </c>
      <c r="B32" s="53" t="n">
        <v>-0.577533692736563</v>
      </c>
    </row>
    <row r="33" customFormat="false" ht="15" hidden="false" customHeight="false" outlineLevel="0" collapsed="false">
      <c r="A33" s="10" t="s">
        <v>313</v>
      </c>
      <c r="B33" s="53" t="n">
        <v>0.461464073736627</v>
      </c>
    </row>
    <row r="34" customFormat="false" ht="15" hidden="false" customHeight="false" outlineLevel="0" collapsed="false">
      <c r="A34" s="10" t="s">
        <v>310</v>
      </c>
      <c r="B34" s="53" t="n">
        <v>0.43258989430503</v>
      </c>
    </row>
    <row r="35" customFormat="false" ht="15" hidden="false" customHeight="false" outlineLevel="0" collapsed="false">
      <c r="A35" s="10" t="s">
        <v>304</v>
      </c>
      <c r="B35" s="53" t="n">
        <v>0.373724743564006</v>
      </c>
    </row>
    <row r="36" customFormat="false" ht="15" hidden="false" customHeight="false" outlineLevel="0" collapsed="false">
      <c r="A36" s="10" t="s">
        <v>147</v>
      </c>
      <c r="B36" s="53" t="n">
        <v>0.22043654131711</v>
      </c>
    </row>
    <row r="37" customFormat="false" ht="15" hidden="false" customHeight="false" outlineLevel="0" collapsed="false">
      <c r="A37" s="10" t="s">
        <v>306</v>
      </c>
      <c r="B37" s="53" t="n">
        <v>-0.190599974951624</v>
      </c>
    </row>
    <row r="38" customFormat="false" ht="15" hidden="false" customHeight="false" outlineLevel="0" collapsed="false">
      <c r="A38" s="10" t="s">
        <v>314</v>
      </c>
      <c r="B38" s="53" t="n">
        <v>-0.11301200998037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5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A4" s="3" t="s">
        <v>317</v>
      </c>
      <c r="B4" s="4" t="s">
        <v>318</v>
      </c>
      <c r="C4" s="4" t="s">
        <v>319</v>
      </c>
      <c r="D4" s="4" t="s">
        <v>320</v>
      </c>
      <c r="E4" s="4" t="s">
        <v>223</v>
      </c>
      <c r="F4" s="4" t="s">
        <v>321</v>
      </c>
      <c r="G4" s="4" t="s">
        <v>213</v>
      </c>
    </row>
    <row r="5" customFormat="false" ht="15" hidden="false" customHeight="false" outlineLevel="0" collapsed="false">
      <c r="A5" s="10" t="s">
        <v>322</v>
      </c>
      <c r="B5" s="18" t="n">
        <v>-0.04</v>
      </c>
      <c r="C5" s="18" t="n">
        <v>-0.02</v>
      </c>
      <c r="D5" s="18" t="n">
        <v>0.005</v>
      </c>
      <c r="E5" s="50" t="n">
        <v>0.25</v>
      </c>
      <c r="F5" s="17" t="n">
        <v>1680.1</v>
      </c>
      <c r="G5" s="21" t="n">
        <f aca="false">F5/Assumptions!$B$4-1</f>
        <v>-0.639122776870865</v>
      </c>
    </row>
    <row r="6" customFormat="false" ht="15" hidden="false" customHeight="false" outlineLevel="0" collapsed="false">
      <c r="A6" s="10" t="s">
        <v>323</v>
      </c>
      <c r="B6" s="18" t="n">
        <v>0</v>
      </c>
      <c r="C6" s="18" t="n">
        <v>0</v>
      </c>
      <c r="D6" s="18" t="n">
        <v>0</v>
      </c>
      <c r="E6" s="50" t="n">
        <v>0.5</v>
      </c>
      <c r="F6" s="17" t="n">
        <v>2435</v>
      </c>
      <c r="G6" s="21" t="n">
        <f aca="false">F6/Assumptions!$B$4-1</f>
        <v>-0.476973966835639</v>
      </c>
    </row>
    <row r="7" customFormat="false" ht="15" hidden="false" customHeight="false" outlineLevel="0" collapsed="false">
      <c r="A7" s="10" t="s">
        <v>324</v>
      </c>
      <c r="B7" s="18" t="n">
        <v>0.03</v>
      </c>
      <c r="C7" s="18" t="n">
        <v>0.01</v>
      </c>
      <c r="D7" s="18" t="n">
        <v>-0.005</v>
      </c>
      <c r="E7" s="50" t="n">
        <v>0.75</v>
      </c>
      <c r="F7" s="17" t="n">
        <v>3179</v>
      </c>
      <c r="G7" s="21" t="n">
        <f aca="false">F7/Assumptions!$B$4-1</f>
        <v>-0.317166423232237</v>
      </c>
    </row>
    <row r="9" customFormat="false" ht="15" hidden="false" customHeight="false" outlineLevel="0" collapsed="false">
      <c r="A9" s="20" t="s">
        <v>325</v>
      </c>
    </row>
    <row r="10" customFormat="false" ht="15" hidden="false" customHeight="false" outlineLevel="0" collapsed="false">
      <c r="A10" s="10" t="s">
        <v>326</v>
      </c>
      <c r="B10" s="51" t="n">
        <v>0.083</v>
      </c>
    </row>
    <row r="11" customFormat="false" ht="15" hidden="false" customHeight="false" outlineLevel="0" collapsed="false">
      <c r="A11" s="10" t="s">
        <v>327</v>
      </c>
      <c r="B11" s="51" t="n">
        <v>0.0926</v>
      </c>
    </row>
    <row r="12" customFormat="false" ht="15" hidden="false" customHeight="false" outlineLevel="0" collapsed="false">
      <c r="A12" s="10" t="s">
        <v>328</v>
      </c>
      <c r="B12" s="18" t="n">
        <v>0.1994</v>
      </c>
    </row>
    <row r="13" customFormat="false" ht="15" hidden="false" customHeight="false" outlineLevel="0" collapsed="false">
      <c r="A13" s="10" t="s">
        <v>329</v>
      </c>
      <c r="B13" s="18" t="n">
        <v>0.5417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35" hidden="false" customHeight="false" outlineLevel="0" collapsed="false">
      <c r="A1" s="1" t="s">
        <v>330</v>
      </c>
    </row>
    <row r="3" customFormat="false" ht="15" hidden="false" customHeight="false" outlineLevel="0" collapsed="false">
      <c r="A3" s="10" t="s">
        <v>331</v>
      </c>
    </row>
    <row r="4" customFormat="false" ht="15" hidden="false" customHeight="false" outlineLevel="0" collapsed="false">
      <c r="A4" s="10" t="s">
        <v>332</v>
      </c>
    </row>
    <row r="5" customFormat="false" ht="15" hidden="false" customHeight="false" outlineLevel="0" collapsed="false">
      <c r="A5" s="10" t="s">
        <v>333</v>
      </c>
    </row>
    <row r="6" customFormat="false" ht="15" hidden="false" customHeight="false" outlineLevel="0" collapsed="false">
      <c r="A6" s="10" t="s">
        <v>334</v>
      </c>
    </row>
    <row r="7" customFormat="false" ht="15" hidden="false" customHeight="false" outlineLevel="0" collapsed="false">
      <c r="A7" s="10" t="s">
        <v>335</v>
      </c>
    </row>
    <row r="8" customFormat="false" ht="15" hidden="false" customHeight="false" outlineLevel="0" collapsed="false">
      <c r="A8" s="10" t="s">
        <v>336</v>
      </c>
    </row>
    <row r="9" customFormat="false" ht="15" hidden="false" customHeight="false" outlineLevel="0" collapsed="false">
      <c r="A9" s="10" t="s">
        <v>337</v>
      </c>
    </row>
    <row r="10" customFormat="false" ht="15" hidden="false" customHeight="false" outlineLevel="0" collapsed="false">
      <c r="A10" s="10" t="s">
        <v>338</v>
      </c>
    </row>
    <row r="11" customFormat="false" ht="15" hidden="false" customHeight="false" outlineLevel="0" collapsed="false">
      <c r="A11" s="10" t="s">
        <v>339</v>
      </c>
    </row>
    <row r="12" customFormat="false" ht="15" hidden="false" customHeight="false" outlineLevel="0" collapsed="false">
      <c r="A12" s="10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2026-10-10T11:31:36Z</dcterms:created>
  <dc:creator>openpyxl</dc:creator>
  <dc:description/>
  <dc:language>en-US</dc:language>
  <cp:lastModifiedBy/>
  <dcterms:modified xsi:type="dcterms:W3CDTF">2026-10-10T11:31:36Z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